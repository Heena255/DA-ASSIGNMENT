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HEENA\data analytic\Assignment\"/>
    </mc:Choice>
  </mc:AlternateContent>
  <xr:revisionPtr revIDLastSave="0" documentId="13_ncr:1_{54049A26-2C20-4685-A19C-76FA19E60726}" xr6:coauthVersionLast="47" xr6:coauthVersionMax="47" xr10:uidLastSave="{00000000-0000-0000-0000-000000000000}"/>
  <bookViews>
    <workbookView xWindow="-120" yWindow="-120" windowWidth="20730" windowHeight="11160" firstSheet="22" activeTab="24" xr2:uid="{00000000-000D-0000-FFFF-FFFF00000000}"/>
  </bookViews>
  <sheets>
    <sheet name="AVERAGE 1 - Question" sheetId="2" r:id="rId1"/>
    <sheet name="AVERAGE 3 - Question" sheetId="3" r:id="rId2"/>
    <sheet name="COUNT 1 - Question" sheetId="4" r:id="rId3"/>
    <sheet name="COUNT 2 - Question" sheetId="5" r:id="rId4"/>
    <sheet name="COUNT 3 - Question" sheetId="6" r:id="rId5"/>
    <sheet name="HLOOKUP - Question" sheetId="7" r:id="rId6"/>
    <sheet name="IF 1 - Question" sheetId="8" r:id="rId7"/>
    <sheet name="IF 2 - Question" sheetId="9" r:id="rId8"/>
    <sheet name="IF 3 - Question" sheetId="10" r:id="rId9"/>
    <sheet name="IF 4 - Question" sheetId="11" r:id="rId10"/>
    <sheet name="MATH 1 - Question" sheetId="19" r:id="rId11"/>
    <sheet name="MAX MIN 1 - Question" sheetId="16" r:id="rId12"/>
    <sheet name="MAX MIN 2 - Question" sheetId="17" r:id="rId13"/>
    <sheet name="MAX MIN 3 - Question" sheetId="18" r:id="rId14"/>
    <sheet name="Nested IF 1 - Question" sheetId="20" r:id="rId15"/>
    <sheet name="SUM 1 - Question" sheetId="22" r:id="rId16"/>
    <sheet name="SUM 2 - Question" sheetId="23" r:id="rId17"/>
    <sheet name="SUM 3 - Question" sheetId="24" r:id="rId18"/>
    <sheet name="SUMIF 1 - Question" sheetId="25" r:id="rId19"/>
    <sheet name="SUMIF2 Questions" sheetId="26" r:id="rId20"/>
    <sheet name="VLOOKUP - Approximate Match" sheetId="29" r:id="rId21"/>
    <sheet name="VLOOKUP 1 - Question" sheetId="30" r:id="rId22"/>
    <sheet name="VLOOUP 2A Questions" sheetId="31" r:id="rId23"/>
    <sheet name="Lec Macros 1.1 " sheetId="12" r:id="rId24"/>
    <sheet name="Sheet2" sheetId="33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2" l="1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H21" i="25"/>
  <c r="H20" i="25"/>
  <c r="H18" i="25"/>
  <c r="B10" i="29"/>
  <c r="B9" i="29"/>
  <c r="B8" i="29"/>
  <c r="C33" i="30"/>
  <c r="C32" i="30"/>
  <c r="C31" i="30"/>
  <c r="C26" i="30"/>
  <c r="C25" i="30"/>
  <c r="C24" i="30"/>
  <c r="E19" i="30"/>
  <c r="E17" i="30"/>
  <c r="C41" i="31"/>
  <c r="C30" i="31"/>
  <c r="C19" i="31"/>
  <c r="H16" i="25"/>
  <c r="H15" i="25"/>
  <c r="C20" i="24"/>
  <c r="C19" i="24"/>
  <c r="C16" i="24"/>
  <c r="C13" i="24"/>
  <c r="C10" i="24"/>
  <c r="C7" i="24"/>
  <c r="C4" i="24"/>
  <c r="B95" i="23"/>
  <c r="B18" i="22"/>
  <c r="C12" i="20"/>
  <c r="C11" i="20"/>
  <c r="C10" i="20"/>
  <c r="C9" i="20"/>
  <c r="D25" i="19"/>
  <c r="D24" i="19"/>
  <c r="D20" i="19"/>
  <c r="D19" i="19"/>
  <c r="D18" i="19"/>
  <c r="D14" i="19"/>
  <c r="D13" i="19"/>
  <c r="D12" i="19"/>
  <c r="D11" i="19"/>
  <c r="C12" i="18"/>
  <c r="G11" i="17"/>
  <c r="G10" i="17"/>
  <c r="G9" i="17"/>
  <c r="G8" i="17"/>
  <c r="C14" i="16"/>
  <c r="C13" i="16"/>
  <c r="C12" i="16"/>
  <c r="D17" i="11"/>
  <c r="D16" i="11"/>
  <c r="D15" i="11"/>
  <c r="D14" i="11"/>
  <c r="D13" i="11"/>
  <c r="D12" i="11"/>
  <c r="D11" i="11"/>
  <c r="F16" i="10"/>
  <c r="F15" i="10"/>
  <c r="F14" i="10"/>
  <c r="F13" i="10"/>
  <c r="F12" i="10"/>
  <c r="F11" i="10"/>
  <c r="F10" i="10"/>
  <c r="F9" i="10"/>
  <c r="E16" i="10"/>
  <c r="E15" i="10"/>
  <c r="E14" i="10"/>
  <c r="E13" i="10"/>
  <c r="E12" i="10"/>
  <c r="E11" i="10"/>
  <c r="E10" i="10"/>
  <c r="E9" i="10"/>
  <c r="D10" i="9"/>
  <c r="D9" i="9"/>
  <c r="D8" i="9"/>
  <c r="D7" i="9"/>
  <c r="C10" i="8"/>
  <c r="C9" i="8"/>
  <c r="C8" i="8"/>
  <c r="C7" i="8"/>
  <c r="C33" i="7"/>
  <c r="C23" i="7"/>
  <c r="C12" i="7"/>
  <c r="B24" i="6"/>
  <c r="B27" i="6"/>
  <c r="B21" i="6"/>
  <c r="B18" i="6"/>
  <c r="B27" i="5"/>
  <c r="B21" i="5"/>
  <c r="B18" i="4"/>
  <c r="B15" i="4"/>
  <c r="B24" i="3"/>
  <c r="B23" i="3"/>
  <c r="B18" i="3"/>
  <c r="B17" i="3"/>
  <c r="B16" i="3"/>
  <c r="D22" i="2"/>
  <c r="D20" i="2"/>
  <c r="D18" i="2"/>
  <c r="D16" i="2"/>
</calcChain>
</file>

<file path=xl/sharedStrings.xml><?xml version="1.0" encoding="utf-8"?>
<sst xmlns="http://schemas.openxmlformats.org/spreadsheetml/2006/main" count="889" uniqueCount="609">
  <si>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</si>
  <si>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</si>
  <si>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</si>
  <si>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</si>
  <si>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</si>
  <si>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</si>
  <si>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</si>
  <si>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</si>
  <si>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</si>
  <si>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</si>
  <si>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</si>
  <si>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</si>
  <si>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</si>
  <si>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</si>
  <si>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</si>
  <si>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</si>
  <si>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</si>
  <si>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</si>
  <si>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</si>
  <si>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</si>
  <si>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</si>
  <si>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</si>
  <si>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</si>
  <si>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</si>
  <si>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</si>
  <si>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</si>
  <si>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</si>
  <si>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</si>
  <si>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</si>
  <si>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</si>
  <si>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</si>
  <si>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</si>
  <si>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</si>
  <si>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</si>
  <si>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</si>
  <si>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</si>
  <si>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</si>
  <si>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</si>
  <si>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</si>
  <si>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</si>
  <si>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</si>
  <si>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</si>
  <si>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</si>
  <si>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</si>
  <si>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</si>
  <si>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</si>
  <si>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</si>
  <si>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</si>
  <si>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</si>
  <si>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</si>
  <si>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</si>
  <si>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</si>
  <si>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</si>
  <si>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</si>
  <si>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</si>
  <si>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</si>
  <si>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</si>
  <si>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</si>
  <si>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</si>
  <si>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</si>
  <si>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</si>
  <si>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</si>
  <si>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</si>
  <si>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</si>
  <si>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</si>
  <si>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</si>
  <si>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</si>
  <si>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</si>
  <si>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</si>
  <si>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</si>
  <si>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</si>
  <si>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</si>
  <si>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</si>
  <si>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</si>
  <si>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</si>
  <si>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</si>
  <si>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How many numerical answers appear in column C - Amount?</t>
  </si>
  <si>
    <t>COUNT returns the number of cells with a number.</t>
  </si>
  <si>
    <t>How many non-blank answers (numbers and letters) appear in column C?</t>
  </si>
  <si>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</si>
  <si>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</si>
  <si>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</si>
  <si>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</si>
  <si>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</si>
  <si>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</si>
  <si>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</si>
  <si>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</si>
  <si>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</si>
  <si>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</si>
  <si>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</si>
  <si>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</si>
  <si>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</si>
  <si>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</si>
  <si>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</si>
  <si>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</si>
  <si>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</si>
  <si>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</si>
  <si>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</si>
  <si>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</si>
  <si>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</si>
  <si>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</si>
  <si>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</si>
  <si>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</si>
  <si>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</si>
  <si>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</si>
  <si>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</si>
  <si>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</si>
  <si>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</si>
  <si>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</si>
  <si>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</si>
  <si>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</si>
  <si>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</si>
  <si>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</si>
  <si>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</si>
  <si>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</si>
  <si>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</si>
  <si>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</si>
  <si>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</si>
  <si>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</si>
  <si>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</si>
  <si>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Pass/Fail</t>
  </si>
  <si>
    <t>Adi</t>
  </si>
  <si>
    <t>Beni</t>
  </si>
  <si>
    <t>Charlie</t>
  </si>
  <si>
    <t>Dani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</si>
  <si>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</si>
  <si>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</si>
  <si>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</si>
  <si>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</si>
  <si>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</si>
  <si>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</si>
  <si>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</si>
  <si>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</si>
  <si>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</si>
  <si>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</si>
  <si>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>Herzl</t>
  </si>
  <si>
    <t>George</t>
  </si>
  <si>
    <t>Fage</t>
  </si>
  <si>
    <t>Eliko</t>
  </si>
  <si>
    <t>Dan</t>
  </si>
  <si>
    <t>Cermit</t>
  </si>
  <si>
    <t>Ben</t>
  </si>
  <si>
    <t>Arik</t>
  </si>
  <si>
    <t>Minor/Adult?</t>
  </si>
  <si>
    <t>Driver Licence</t>
  </si>
  <si>
    <t>Age</t>
  </si>
  <si>
    <t>Number</t>
  </si>
  <si>
    <t>Column E</t>
  </si>
  <si>
    <t>Column D</t>
  </si>
  <si>
    <t>If the student is younger than 18 years old he/she is a minor. Check whether the student is a minor or not. for Minor return "Minor" and non minor = "Adult" anwswer in column E</t>
  </si>
  <si>
    <t>If the student's age is 16 or above, he/she is eligible for a driver's license. Check if they are eligible or not. Answer in column D</t>
  </si>
  <si>
    <t xml:space="preserve">	The table below contains details of high school students names and ages, use IF formula to complete columns D and E</t>
  </si>
  <si>
    <t>An A+ student gets 100% scholarship and non A+ gets 50% scholarship as shown in the table below: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</si>
  <si>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</si>
  <si>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</si>
  <si>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</si>
  <si>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</si>
  <si>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</si>
  <si>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</si>
  <si>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</si>
  <si>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</si>
  <si>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</si>
  <si>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</si>
  <si>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</si>
  <si>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</si>
  <si>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</si>
  <si>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MAX, MIN and Average</t>
  </si>
  <si>
    <t>Sumo wrestlers contest - Names and Weights</t>
  </si>
  <si>
    <t>Use max, min and average formulas to answer the following questions.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</si>
  <si>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</si>
  <si>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</si>
  <si>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</si>
  <si>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</si>
  <si>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</si>
  <si>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</si>
  <si>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</si>
  <si>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</si>
  <si>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</si>
  <si>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</si>
  <si>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</si>
  <si>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</si>
  <si>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</si>
  <si>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</si>
  <si>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</si>
  <si>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</si>
  <si>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</si>
  <si>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</si>
  <si>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</si>
  <si>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</si>
  <si>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 xml:space="preserve">IF at least one student got 99 points or more in a test - the test considered easy, </t>
  </si>
  <si>
    <t>Use MAX and IF to create a logic that checks if the test was "Easy" or not</t>
  </si>
  <si>
    <t>Johny</t>
  </si>
  <si>
    <t>Lev</t>
  </si>
  <si>
    <t>Yoav</t>
  </si>
  <si>
    <t>Chen</t>
  </si>
  <si>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</si>
  <si>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</si>
  <si>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</si>
  <si>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</si>
  <si>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</si>
  <si>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</si>
  <si>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</si>
  <si>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</si>
  <si>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</si>
  <si>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</si>
  <si>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</si>
  <si>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</si>
  <si>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</si>
  <si>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</si>
  <si>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</si>
  <si>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</si>
  <si>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</si>
  <si>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</si>
  <si>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</si>
  <si>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</si>
  <si>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</si>
  <si>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</si>
  <si>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</si>
  <si>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</si>
  <si>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</si>
  <si>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</si>
  <si>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</si>
  <si>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</si>
  <si>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</si>
  <si>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</si>
  <si>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</si>
  <si>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</si>
  <si>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</si>
  <si>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</si>
  <si>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</si>
  <si>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Failed/Good/Excellent</t>
  </si>
  <si>
    <t>John</t>
  </si>
  <si>
    <t>Sarah</t>
  </si>
  <si>
    <t>Michael</t>
  </si>
  <si>
    <t>Deborah</t>
  </si>
  <si>
    <t>Country</t>
  </si>
  <si>
    <t>Region</t>
  </si>
  <si>
    <t>Date</t>
  </si>
  <si>
    <t>Russia</t>
  </si>
  <si>
    <t>Bangkok</t>
  </si>
  <si>
    <t>Delhi</t>
  </si>
  <si>
    <t>Tel Aviv</t>
  </si>
  <si>
    <t>Capetown</t>
  </si>
  <si>
    <t>USA</t>
  </si>
  <si>
    <t>Berlin</t>
  </si>
  <si>
    <t>Germany</t>
  </si>
  <si>
    <t>Warsaw</t>
  </si>
  <si>
    <t>Shanghai</t>
  </si>
  <si>
    <t>Cairo</t>
  </si>
  <si>
    <t>Romania</t>
  </si>
  <si>
    <t>Thomas Davies</t>
  </si>
  <si>
    <t>The following table includes ABC company's revenue by month.</t>
  </si>
  <si>
    <t>The company's CFO asked you to use SUM formula to calculate the total revenue for the year.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</si>
  <si>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</si>
  <si>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</si>
  <si>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</si>
  <si>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</si>
  <si>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</si>
  <si>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</si>
  <si>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</si>
  <si>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</si>
  <si>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</si>
  <si>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</si>
  <si>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</si>
  <si>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</si>
  <si>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</si>
  <si>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</si>
  <si>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</si>
  <si>
    <t>The following table represents daily costs by day for the first quarter of 2015</t>
  </si>
  <si>
    <t>Calculate the total costs at the bottom of the table. Hint: to save time, use sum shortcuts.</t>
  </si>
  <si>
    <t>Costs</t>
  </si>
  <si>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</si>
  <si>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</si>
  <si>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</si>
  <si>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</si>
  <si>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</si>
  <si>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</si>
  <si>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</si>
  <si>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</si>
  <si>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</si>
  <si>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</si>
  <si>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</si>
  <si>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</si>
  <si>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</si>
  <si>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</si>
  <si>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</si>
  <si>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</si>
  <si>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</si>
  <si>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</si>
  <si>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</si>
  <si>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</si>
  <si>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</si>
  <si>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</si>
  <si>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</si>
  <si>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</si>
  <si>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</si>
  <si>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</si>
  <si>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</si>
  <si>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</si>
  <si>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</si>
  <si>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</si>
  <si>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</si>
  <si>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</si>
  <si>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</si>
  <si>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</si>
  <si>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</si>
  <si>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</si>
  <si>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</si>
  <si>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</si>
  <si>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</si>
  <si>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</si>
  <si>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</si>
  <si>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</si>
  <si>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</si>
  <si>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</si>
  <si>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</si>
  <si>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</si>
  <si>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</si>
  <si>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</si>
  <si>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</si>
  <si>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</si>
  <si>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</si>
  <si>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</si>
  <si>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</si>
  <si>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</si>
  <si>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</si>
  <si>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</si>
  <si>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</si>
  <si>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</si>
  <si>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</si>
  <si>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</si>
  <si>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</si>
  <si>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</si>
  <si>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</si>
  <si>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</si>
  <si>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</si>
  <si>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</si>
  <si>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</si>
  <si>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</si>
  <si>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</si>
  <si>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</si>
  <si>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</si>
  <si>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</si>
  <si>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</si>
  <si>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</si>
  <si>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</si>
  <si>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</si>
  <si>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</si>
  <si>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</si>
  <si>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</si>
  <si>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</si>
  <si>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</si>
  <si>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</si>
  <si>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</si>
  <si>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</si>
  <si>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</si>
  <si>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</si>
  <si>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</si>
  <si>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</si>
  <si>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</si>
  <si>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</si>
  <si>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</si>
  <si>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</si>
  <si>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</si>
  <si>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</si>
  <si>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</si>
  <si>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</si>
  <si>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</si>
  <si>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</si>
  <si>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</si>
  <si>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</si>
  <si>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</si>
  <si>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</si>
  <si>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</si>
  <si>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</si>
  <si>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</si>
  <si>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</si>
  <si>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</si>
  <si>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</si>
  <si>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</si>
  <si>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</si>
  <si>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</si>
  <si>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</si>
  <si>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</si>
  <si>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</si>
  <si>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</si>
  <si>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</si>
  <si>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</si>
  <si>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</si>
  <si>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</si>
  <si>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</si>
  <si>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</si>
  <si>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</si>
  <si>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</si>
  <si>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</si>
  <si>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</si>
  <si>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</si>
  <si>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</si>
  <si>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</si>
  <si>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</si>
  <si>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</si>
  <si>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</si>
  <si>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</si>
  <si>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</si>
  <si>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</si>
  <si>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</si>
  <si>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</si>
  <si>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</si>
  <si>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</si>
  <si>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</si>
  <si>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</si>
  <si>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</si>
  <si>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</si>
  <si>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</si>
  <si>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</si>
  <si>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</si>
  <si>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</si>
  <si>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</si>
  <si>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</si>
  <si>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</si>
  <si>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</si>
  <si>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</si>
  <si>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</si>
  <si>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</si>
  <si>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</si>
  <si>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</si>
  <si>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</si>
  <si>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</si>
  <si>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</si>
  <si>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</si>
  <si>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</si>
  <si>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</si>
  <si>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</si>
  <si>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</si>
  <si>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</si>
  <si>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</si>
  <si>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</si>
  <si>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</si>
  <si>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</si>
  <si>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</si>
  <si>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</si>
  <si>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</si>
  <si>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</si>
  <si>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</si>
  <si>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</si>
  <si>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</si>
  <si>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</si>
  <si>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</si>
  <si>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</si>
  <si>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</si>
  <si>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</si>
  <si>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</si>
  <si>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</si>
  <si>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</si>
  <si>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Sport</t>
  </si>
  <si>
    <t>Medals Won</t>
  </si>
  <si>
    <t>Michael Phelps</t>
  </si>
  <si>
    <t>Swimming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</si>
  <si>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</si>
  <si>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</si>
  <si>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</si>
  <si>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</si>
  <si>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</si>
  <si>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</si>
  <si>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</si>
  <si>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Nadia Comaneci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</si>
  <si>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</si>
  <si>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</si>
  <si>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</si>
  <si>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</si>
  <si>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</si>
  <si>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</si>
  <si>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</si>
  <si>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Questions</t>
  </si>
  <si>
    <t>See Answers Tab</t>
  </si>
  <si>
    <t>What is the total number of medals won by athletes from USA?</t>
  </si>
  <si>
    <t>Result:</t>
  </si>
  <si>
    <t>What is the total number of medals won by figure skaters?</t>
  </si>
  <si>
    <t>What is the total number of medals won by both USA and Jamaica? (Hard)</t>
  </si>
  <si>
    <t>Product</t>
  </si>
  <si>
    <t>Quantity</t>
  </si>
  <si>
    <t>Price</t>
  </si>
  <si>
    <t>Total</t>
  </si>
  <si>
    <t>Discount</t>
  </si>
  <si>
    <t>Bill Smith</t>
  </si>
  <si>
    <t>Kennedi Singh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</si>
  <si>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</si>
  <si>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</si>
  <si>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</si>
  <si>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</si>
  <si>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</si>
  <si>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</si>
  <si>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</si>
  <si>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</si>
  <si>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</si>
  <si>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</si>
  <si>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</si>
  <si>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</si>
  <si>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</si>
  <si>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</si>
  <si>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</si>
  <si>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</si>
  <si>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</si>
  <si>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</si>
  <si>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</si>
  <si>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</si>
  <si>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</si>
  <si>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</si>
  <si>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</si>
  <si>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</si>
  <si>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</si>
  <si>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</si>
  <si>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</si>
  <si>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</si>
  <si>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</si>
  <si>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>Below is a list of the employees who work in your company:</t>
  </si>
  <si>
    <t>Location</t>
  </si>
  <si>
    <t>Garry Manship</t>
  </si>
  <si>
    <t>Hong Kong</t>
  </si>
  <si>
    <t>William Johnson</t>
  </si>
  <si>
    <t>Thomas Bettle</t>
  </si>
  <si>
    <t>Ian Nash</t>
  </si>
  <si>
    <t>Margaret Turley</t>
  </si>
  <si>
    <t>Michael Kaye</t>
  </si>
  <si>
    <t>Paul Bell</t>
  </si>
  <si>
    <t>Eric Green</t>
  </si>
  <si>
    <t>Williamr Black</t>
  </si>
  <si>
    <t>Estelle Cormack</t>
  </si>
  <si>
    <t>Christopher Fallon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</si>
  <si>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</si>
  <si>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</si>
  <si>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</si>
  <si>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</si>
  <si>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</si>
  <si>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VLOOKUP Exercise - Data: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</si>
  <si>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</si>
  <si>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</si>
  <si>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</si>
  <si>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</si>
  <si>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</si>
  <si>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</si>
  <si>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</si>
  <si>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</si>
  <si>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Accountant</t>
  </si>
  <si>
    <t>Emily Chen</t>
  </si>
  <si>
    <t>Sam Lee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</si>
  <si>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</si>
  <si>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</si>
  <si>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</si>
  <si>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</si>
  <si>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</si>
  <si>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</si>
  <si>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</si>
  <si>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</si>
  <si>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</si>
  <si>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</si>
  <si>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s</t>
  </si>
  <si>
    <t>Create a VLOOKUP formula to find the occupation of Jane Doe.</t>
  </si>
  <si>
    <t>Create a VLOOKUP formula to find the age of Mike Lee.</t>
  </si>
  <si>
    <t>Create a VLOOKUP formula to find the occupation of a person whose name starts with "B" (Challenging!)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</si>
  <si>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</si>
  <si>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</si>
  <si>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</si>
  <si>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</si>
  <si>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</si>
  <si>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</si>
  <si>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</si>
  <si>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</si>
  <si>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</si>
  <si>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</si>
  <si>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</si>
  <si>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</si>
  <si>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</si>
  <si>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</si>
  <si>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</si>
  <si>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</si>
  <si>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</si>
  <si>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</si>
  <si>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</si>
  <si>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</si>
  <si>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</si>
  <si>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</si>
  <si>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</si>
  <si>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</si>
  <si>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</si>
  <si>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</si>
  <si>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</si>
  <si>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</si>
  <si>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</si>
  <si>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</si>
  <si>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</si>
  <si>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</si>
  <si>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</si>
  <si>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</si>
  <si>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</si>
  <si>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</si>
  <si>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</si>
  <si>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</si>
  <si>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</si>
  <si>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First Name</t>
  </si>
  <si>
    <t>Last Name</t>
  </si>
  <si>
    <t>OrderID</t>
  </si>
  <si>
    <t xml:space="preserve"> Volkswagen Golf</t>
  </si>
  <si>
    <t xml:space="preserve"> Toyota Yaris</t>
  </si>
  <si>
    <t xml:space="preserve"> Seat Panda</t>
  </si>
  <si>
    <t xml:space="preserve"> Ford Focus</t>
  </si>
  <si>
    <t xml:space="preserve"> Vauxhall Corsa</t>
  </si>
  <si>
    <t xml:space="preserve"> Volkswagen Polo</t>
  </si>
  <si>
    <t>VolkswagenPolo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</si>
</sst>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B1mmm\-yy"/>
    <numFmt numFmtId="165" formatCode="_([$$-409]* #,##0.00_);_([$$-409]* \(#,##0.00\);_([$$-409]* &quot;-&quot;??_);_(@_)"/>
    <numFmt numFmtId="166" formatCode="_ * #,##0.00_ ;_ * \-#,##0.00_ ;_ * &quot;-&quot;??_ ;_ @_ "/>
    <numFmt numFmtId="167" formatCode="_ * #,##0_ ;_ * \-#,##0_ ;_ * &quot;-&quot;??_ ;_ @_ "/>
    <numFmt numFmtId="168" formatCode="_(* #,##0_);_(* \(#,##0\);_(* &quot;-&quot;??_);_(@_)"/>
    <numFmt numFmtId="169" formatCode="_-[$$-409]* #,##0.0000_ ;_-[$$-409]* \-#,##0.0000\ ;_-[$$-409]* &quot;-&quot;??_ ;_-@_ 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E101A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rgb="FF0E101A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Roboto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charset val="177"/>
    </font>
    <font>
      <sz val="11"/>
      <color rgb="FF000000"/>
      <name val="Calibri"/>
      <family val="2"/>
      <charset val="177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indexed="64"/>
      </patternFill>
    </fill>
    <fill>
      <patternFill patternType="solid">
        <fgColor rgb="FF0066CC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4" fillId="0" borderId="0"/>
    <xf numFmtId="166" fontId="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6" fontId="1" fillId="0" borderId="0" applyFont="0" applyFill="0" applyBorder="0" applyAlignment="0" applyProtection="0"/>
  </cellStyleXfs>
  <cellXfs count="145">
    <xf numFmtId="0" fontId="0" fillId="0" borderId="0" xfId="0"/>
    <xf numFmtId="0" fontId="4" fillId="0" borderId="0" xfId="1"/>
    <xf numFmtId="0" fontId="3" fillId="0" borderId="1" xfId="1" applyFont="1" applyBorder="1"/>
    <xf numFmtId="0" fontId="3" fillId="2" borderId="1" xfId="1" applyFont="1" applyFill="1" applyBorder="1"/>
    <xf numFmtId="0" fontId="3" fillId="3" borderId="1" xfId="1" applyFont="1" applyFill="1" applyBorder="1"/>
    <xf numFmtId="0" fontId="3" fillId="4" borderId="1" xfId="1" applyFont="1" applyFill="1" applyBorder="1"/>
    <xf numFmtId="0" fontId="5" fillId="0" borderId="0" xfId="1" applyFont="1"/>
    <xf numFmtId="0" fontId="3" fillId="0" borderId="0" xfId="1" applyFont="1"/>
    <xf numFmtId="0" fontId="3" fillId="5" borderId="2" xfId="1" applyFont="1" applyFill="1" applyBorder="1" applyProtection="1">
      <protection locked="0"/>
    </xf>
    <xf numFmtId="0" fontId="5" fillId="5" borderId="2" xfId="1" applyFont="1" applyFill="1" applyBorder="1" applyProtection="1">
      <protection locked="0"/>
    </xf>
    <xf numFmtId="164" fontId="3" fillId="0" borderId="0" xfId="1" applyNumberFormat="1" applyFont="1"/>
    <xf numFmtId="0" fontId="3" fillId="5" borderId="0" xfId="1" applyFont="1" applyFill="1" applyProtection="1">
      <protection locked="0"/>
    </xf>
    <xf numFmtId="0" fontId="6" fillId="0" borderId="0" xfId="1" applyFont="1"/>
    <xf numFmtId="0" fontId="7" fillId="0" borderId="0" xfId="1" applyFont="1"/>
    <xf numFmtId="0" fontId="8" fillId="0" borderId="0" xfId="1" applyFont="1"/>
    <xf numFmtId="0" fontId="8" fillId="0" borderId="1" xfId="1" applyFont="1" applyBorder="1"/>
    <xf numFmtId="0" fontId="9" fillId="6" borderId="1" xfId="1" applyFont="1" applyFill="1" applyBorder="1"/>
    <xf numFmtId="0" fontId="8" fillId="6" borderId="1" xfId="1" applyFont="1" applyFill="1" applyBorder="1"/>
    <xf numFmtId="0" fontId="8" fillId="5" borderId="2" xfId="1" applyFont="1" applyFill="1" applyBorder="1" applyProtection="1">
      <protection locked="0"/>
    </xf>
    <xf numFmtId="0" fontId="10" fillId="0" borderId="0" xfId="1" applyFont="1"/>
    <xf numFmtId="0" fontId="11" fillId="0" borderId="0" xfId="1" applyFont="1"/>
    <xf numFmtId="0" fontId="1" fillId="0" borderId="0" xfId="1" applyFont="1"/>
    <xf numFmtId="0" fontId="12" fillId="7" borderId="1" xfId="1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 wrapText="1"/>
    </xf>
    <xf numFmtId="43" fontId="13" fillId="7" borderId="1" xfId="1" applyNumberFormat="1" applyFont="1" applyFill="1" applyBorder="1" applyAlignment="1">
      <alignment vertical="center" wrapText="1"/>
    </xf>
    <xf numFmtId="43" fontId="13" fillId="7" borderId="1" xfId="1" applyNumberFormat="1" applyFont="1" applyFill="1" applyBorder="1" applyAlignment="1">
      <alignment horizontal="center" vertical="center" wrapText="1"/>
    </xf>
    <xf numFmtId="1" fontId="13" fillId="7" borderId="1" xfId="1" applyNumberFormat="1" applyFont="1" applyFill="1" applyBorder="1" applyAlignment="1">
      <alignment horizontal="center" vertical="center" wrapText="1"/>
    </xf>
    <xf numFmtId="0" fontId="11" fillId="5" borderId="2" xfId="1" applyFont="1" applyFill="1" applyBorder="1" applyProtection="1">
      <protection locked="0"/>
    </xf>
    <xf numFmtId="0" fontId="8" fillId="8" borderId="3" xfId="1" applyFont="1" applyFill="1" applyBorder="1"/>
    <xf numFmtId="0" fontId="8" fillId="8" borderId="4" xfId="1" applyFont="1" applyFill="1" applyBorder="1"/>
    <xf numFmtId="0" fontId="8" fillId="8" borderId="5" xfId="1" applyFont="1" applyFill="1" applyBorder="1"/>
    <xf numFmtId="0" fontId="8" fillId="5" borderId="0" xfId="1" applyFont="1" applyFill="1" applyProtection="1">
      <protection locked="0"/>
    </xf>
    <xf numFmtId="0" fontId="11" fillId="0" borderId="0" xfId="0" applyFont="1"/>
    <xf numFmtId="0" fontId="14" fillId="0" borderId="0" xfId="0" applyFont="1"/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0" xfId="0" applyFont="1"/>
    <xf numFmtId="0" fontId="11" fillId="9" borderId="6" xfId="0" applyFont="1" applyFill="1" applyBorder="1"/>
    <xf numFmtId="0" fontId="11" fillId="0" borderId="0" xfId="0" applyFont="1" applyAlignment="1">
      <alignment horizontal="left" indent="1"/>
    </xf>
    <xf numFmtId="0" fontId="15" fillId="0" borderId="0" xfId="1" applyFont="1"/>
    <xf numFmtId="0" fontId="5" fillId="0" borderId="1" xfId="1" applyFont="1" applyBorder="1"/>
    <xf numFmtId="0" fontId="3" fillId="5" borderId="1" xfId="1" applyFont="1" applyFill="1" applyBorder="1" applyProtection="1">
      <protection locked="0"/>
    </xf>
    <xf numFmtId="0" fontId="16" fillId="0" borderId="0" xfId="1" applyFont="1"/>
    <xf numFmtId="0" fontId="17" fillId="0" borderId="0" xfId="1" applyFont="1"/>
    <xf numFmtId="165" fontId="3" fillId="0" borderId="1" xfId="1" applyNumberFormat="1" applyFont="1" applyBorder="1"/>
    <xf numFmtId="0" fontId="3" fillId="0" borderId="7" xfId="1" applyFont="1" applyBorder="1"/>
    <xf numFmtId="0" fontId="17" fillId="0" borderId="1" xfId="1" applyFont="1" applyBorder="1"/>
    <xf numFmtId="0" fontId="17" fillId="0" borderId="7" xfId="1" applyFont="1" applyBorder="1"/>
    <xf numFmtId="0" fontId="3" fillId="0" borderId="0" xfId="1" applyFont="1" applyAlignment="1">
      <alignment horizontal="left"/>
    </xf>
    <xf numFmtId="0" fontId="18" fillId="0" borderId="0" xfId="1" applyFont="1"/>
    <xf numFmtId="0" fontId="3" fillId="0" borderId="0" xfId="1" applyFont="1" applyAlignment="1">
      <alignment horizontal="right"/>
    </xf>
    <xf numFmtId="0" fontId="1" fillId="0" borderId="1" xfId="1" applyFont="1" applyBorder="1"/>
    <xf numFmtId="9" fontId="1" fillId="0" borderId="1" xfId="1" applyNumberFormat="1" applyFont="1" applyBorder="1"/>
    <xf numFmtId="0" fontId="2" fillId="0" borderId="1" xfId="1" applyFont="1" applyBorder="1"/>
    <xf numFmtId="167" fontId="1" fillId="0" borderId="1" xfId="2" applyNumberFormat="1" applyFont="1" applyBorder="1"/>
    <xf numFmtId="3" fontId="1" fillId="5" borderId="1" xfId="1" applyNumberFormat="1" applyFont="1" applyFill="1" applyBorder="1" applyProtection="1">
      <protection locked="0"/>
    </xf>
    <xf numFmtId="0" fontId="4" fillId="0" borderId="0" xfId="1" applyAlignment="1">
      <alignment horizontal="center"/>
    </xf>
    <xf numFmtId="0" fontId="17" fillId="0" borderId="0" xfId="1" applyFont="1" applyAlignment="1">
      <alignment horizontal="center"/>
    </xf>
    <xf numFmtId="0" fontId="17" fillId="0" borderId="8" xfId="1" applyFont="1" applyBorder="1"/>
    <xf numFmtId="0" fontId="7" fillId="0" borderId="8" xfId="1" applyFont="1" applyBorder="1"/>
    <xf numFmtId="0" fontId="3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3" fillId="0" borderId="0" xfId="1" quotePrefix="1" applyFont="1"/>
    <xf numFmtId="0" fontId="20" fillId="0" borderId="0" xfId="1" applyFont="1"/>
    <xf numFmtId="0" fontId="15" fillId="0" borderId="0" xfId="1" quotePrefix="1" applyFont="1"/>
    <xf numFmtId="9" fontId="3" fillId="5" borderId="0" xfId="1" applyNumberFormat="1" applyFont="1" applyFill="1" applyProtection="1">
      <protection locked="0"/>
    </xf>
    <xf numFmtId="9" fontId="3" fillId="0" borderId="0" xfId="1" applyNumberFormat="1" applyFont="1"/>
    <xf numFmtId="0" fontId="22" fillId="0" borderId="0" xfId="4" applyFont="1"/>
    <xf numFmtId="9" fontId="15" fillId="0" borderId="0" xfId="1" applyNumberFormat="1" applyFont="1"/>
    <xf numFmtId="0" fontId="3" fillId="0" borderId="8" xfId="1" applyFont="1" applyBorder="1"/>
    <xf numFmtId="0" fontId="2" fillId="0" borderId="6" xfId="1" applyFont="1" applyBorder="1"/>
    <xf numFmtId="0" fontId="4" fillId="0" borderId="6" xfId="1" applyBorder="1"/>
    <xf numFmtId="0" fontId="4" fillId="9" borderId="6" xfId="1" applyFill="1" applyBorder="1" applyProtection="1">
      <protection locked="0"/>
    </xf>
    <xf numFmtId="168" fontId="3" fillId="0" borderId="0" xfId="1" applyNumberFormat="1" applyFont="1" applyAlignment="1">
      <alignment horizontal="center"/>
    </xf>
    <xf numFmtId="168" fontId="3" fillId="5" borderId="2" xfId="1" applyNumberFormat="1" applyFont="1" applyFill="1" applyBorder="1" applyProtection="1">
      <protection locked="0"/>
    </xf>
    <xf numFmtId="14" fontId="5" fillId="10" borderId="1" xfId="1" applyNumberFormat="1" applyFont="1" applyFill="1" applyBorder="1"/>
    <xf numFmtId="44" fontId="5" fillId="10" borderId="1" xfId="1" applyNumberFormat="1" applyFont="1" applyFill="1" applyBorder="1"/>
    <xf numFmtId="14" fontId="3" fillId="0" borderId="1" xfId="1" applyNumberFormat="1" applyFont="1" applyBorder="1"/>
    <xf numFmtId="44" fontId="3" fillId="0" borderId="1" xfId="1" applyNumberFormat="1" applyFont="1" applyBorder="1"/>
    <xf numFmtId="14" fontId="3" fillId="0" borderId="0" xfId="1" applyNumberFormat="1" applyFont="1"/>
    <xf numFmtId="44" fontId="3" fillId="9" borderId="1" xfId="1" applyNumberFormat="1" applyFont="1" applyFill="1" applyBorder="1" applyProtection="1">
      <protection locked="0"/>
    </xf>
    <xf numFmtId="3" fontId="24" fillId="11" borderId="1" xfId="1" applyNumberFormat="1" applyFont="1" applyFill="1" applyBorder="1" applyAlignment="1">
      <alignment horizontal="center"/>
    </xf>
    <xf numFmtId="3" fontId="15" fillId="0" borderId="0" xfId="1" applyNumberFormat="1" applyFont="1"/>
    <xf numFmtId="3" fontId="24" fillId="0" borderId="0" xfId="1" applyNumberFormat="1" applyFont="1" applyAlignment="1">
      <alignment horizontal="right"/>
    </xf>
    <xf numFmtId="3" fontId="3" fillId="5" borderId="1" xfId="1" applyNumberFormat="1" applyFont="1" applyFill="1" applyBorder="1" applyProtection="1">
      <protection locked="0"/>
    </xf>
    <xf numFmtId="0" fontId="25" fillId="0" borderId="0" xfId="1" applyFont="1"/>
    <xf numFmtId="3" fontId="3" fillId="5" borderId="6" xfId="1" applyNumberFormat="1" applyFont="1" applyFill="1" applyBorder="1" applyProtection="1">
      <protection locked="0"/>
    </xf>
    <xf numFmtId="3" fontId="3" fillId="9" borderId="6" xfId="1" applyNumberFormat="1" applyFont="1" applyFill="1" applyBorder="1" applyProtection="1">
      <protection locked="0"/>
    </xf>
    <xf numFmtId="0" fontId="24" fillId="11" borderId="1" xfId="1" applyFont="1" applyFill="1" applyBorder="1" applyAlignment="1">
      <alignment horizontal="center"/>
    </xf>
    <xf numFmtId="0" fontId="28" fillId="11" borderId="1" xfId="1" applyFont="1" applyFill="1" applyBorder="1" applyAlignment="1">
      <alignment horizontal="center"/>
    </xf>
    <xf numFmtId="0" fontId="24" fillId="0" borderId="1" xfId="1" applyFont="1" applyBorder="1" applyAlignment="1">
      <alignment horizontal="center"/>
    </xf>
    <xf numFmtId="3" fontId="24" fillId="5" borderId="1" xfId="1" applyNumberFormat="1" applyFont="1" applyFill="1" applyBorder="1" applyAlignment="1">
      <alignment horizontal="center"/>
    </xf>
    <xf numFmtId="3" fontId="5" fillId="5" borderId="1" xfId="1" applyNumberFormat="1" applyFont="1" applyFill="1" applyBorder="1" applyAlignment="1">
      <alignment horizontal="center"/>
    </xf>
    <xf numFmtId="0" fontId="2" fillId="0" borderId="6" xfId="0" applyFont="1" applyBorder="1"/>
    <xf numFmtId="0" fontId="0" fillId="0" borderId="6" xfId="0" applyBorder="1"/>
    <xf numFmtId="167" fontId="0" fillId="0" borderId="6" xfId="5" applyNumberFormat="1" applyFont="1" applyBorder="1"/>
    <xf numFmtId="0" fontId="2" fillId="0" borderId="0" xfId="0" applyFont="1"/>
    <xf numFmtId="0" fontId="0" fillId="9" borderId="11" xfId="0" applyFill="1" applyBorder="1" applyProtection="1">
      <protection locked="0"/>
    </xf>
    <xf numFmtId="0" fontId="29" fillId="0" borderId="0" xfId="0" applyFont="1"/>
    <xf numFmtId="0" fontId="30" fillId="0" borderId="0" xfId="0" applyFont="1"/>
    <xf numFmtId="0" fontId="30" fillId="0" borderId="6" xfId="0" applyFont="1" applyBorder="1"/>
    <xf numFmtId="0" fontId="29" fillId="0" borderId="6" xfId="0" applyFont="1" applyBorder="1"/>
    <xf numFmtId="0" fontId="31" fillId="0" borderId="0" xfId="0" applyFont="1" applyAlignment="1">
      <alignment vertical="center"/>
    </xf>
    <xf numFmtId="0" fontId="19" fillId="0" borderId="0" xfId="3" quotePrefix="1"/>
    <xf numFmtId="0" fontId="32" fillId="0" borderId="0" xfId="0" applyFont="1" applyAlignment="1">
      <alignment vertical="center"/>
    </xf>
    <xf numFmtId="0" fontId="33" fillId="0" borderId="0" xfId="0" applyFont="1"/>
    <xf numFmtId="0" fontId="34" fillId="0" borderId="0" xfId="0" applyFont="1"/>
    <xf numFmtId="0" fontId="35" fillId="9" borderId="6" xfId="0" applyFont="1" applyFill="1" applyBorder="1"/>
    <xf numFmtId="0" fontId="36" fillId="0" borderId="0" xfId="0" applyFont="1" applyAlignment="1">
      <alignment wrapText="1"/>
    </xf>
    <xf numFmtId="14" fontId="37" fillId="0" borderId="0" xfId="0" applyNumberFormat="1" applyFont="1" applyAlignment="1">
      <alignment wrapText="1"/>
    </xf>
    <xf numFmtId="169" fontId="37" fillId="0" borderId="0" xfId="0" applyNumberFormat="1" applyFont="1" applyAlignment="1">
      <alignment horizontal="left" wrapText="1"/>
    </xf>
    <xf numFmtId="14" fontId="0" fillId="0" borderId="0" xfId="0" applyNumberFormat="1"/>
    <xf numFmtId="0" fontId="0" fillId="9" borderId="0" xfId="0" applyFill="1" applyProtection="1">
      <protection locked="0"/>
    </xf>
    <xf numFmtId="0" fontId="38" fillId="0" borderId="0" xfId="1" applyFont="1"/>
    <xf numFmtId="0" fontId="23" fillId="0" borderId="0" xfId="1" applyFont="1"/>
    <xf numFmtId="0" fontId="38" fillId="14" borderId="1" xfId="1" applyFont="1" applyFill="1" applyBorder="1"/>
    <xf numFmtId="0" fontId="38" fillId="14" borderId="10" xfId="1" applyFont="1" applyFill="1" applyBorder="1"/>
    <xf numFmtId="0" fontId="23" fillId="0" borderId="12" xfId="1" applyFont="1" applyBorder="1" applyAlignment="1">
      <alignment horizontal="left"/>
    </xf>
    <xf numFmtId="0" fontId="23" fillId="0" borderId="13" xfId="1" applyFont="1" applyBorder="1"/>
    <xf numFmtId="0" fontId="23" fillId="0" borderId="13" xfId="1" applyFont="1" applyBorder="1" applyAlignment="1">
      <alignment horizontal="right"/>
    </xf>
    <xf numFmtId="0" fontId="38" fillId="0" borderId="0" xfId="1" applyFont="1" applyAlignment="1">
      <alignment horizontal="right"/>
    </xf>
    <xf numFmtId="0" fontId="23" fillId="5" borderId="0" xfId="1" applyFont="1" applyFill="1" applyProtection="1">
      <protection locked="0"/>
    </xf>
    <xf numFmtId="0" fontId="38" fillId="0" borderId="1" xfId="1" applyFont="1" applyBorder="1"/>
    <xf numFmtId="0" fontId="38" fillId="0" borderId="10" xfId="1" applyFont="1" applyBorder="1"/>
    <xf numFmtId="0" fontId="23" fillId="5" borderId="13" xfId="1" applyFont="1" applyFill="1" applyBorder="1" applyProtection="1">
      <protection locked="0"/>
    </xf>
    <xf numFmtId="0" fontId="23" fillId="0" borderId="12" xfId="1" applyFont="1" applyBorder="1"/>
    <xf numFmtId="0" fontId="35" fillId="0" borderId="0" xfId="0" applyFont="1"/>
    <xf numFmtId="0" fontId="34" fillId="0" borderId="6" xfId="0" applyFont="1" applyBorder="1"/>
    <xf numFmtId="0" fontId="33" fillId="0" borderId="0" xfId="0" applyFont="1" applyAlignment="1">
      <alignment vertical="center"/>
    </xf>
    <xf numFmtId="0" fontId="3" fillId="0" borderId="0" xfId="1" applyFont="1" applyAlignment="1">
      <alignment wrapText="1"/>
    </xf>
    <xf numFmtId="0" fontId="4" fillId="0" borderId="0" xfId="1"/>
    <xf numFmtId="0" fontId="3" fillId="0" borderId="0" xfId="1" applyFont="1" applyAlignment="1">
      <alignment horizontal="left" vertic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26" fillId="12" borderId="7" xfId="1" applyFont="1" applyFill="1" applyBorder="1" applyAlignment="1">
      <alignment horizontal="center"/>
    </xf>
    <xf numFmtId="0" fontId="27" fillId="0" borderId="9" xfId="1" applyFont="1" applyBorder="1"/>
    <xf numFmtId="0" fontId="27" fillId="0" borderId="10" xfId="1" applyFont="1" applyBorder="1"/>
    <xf numFmtId="0" fontId="29" fillId="13" borderId="0" xfId="0" applyFont="1" applyFill="1" applyAlignment="1">
      <alignment horizontal="left" vertical="center" wrapText="1"/>
    </xf>
    <xf numFmtId="0" fontId="38" fillId="0" borderId="0" xfId="1" applyFont="1"/>
    <xf numFmtId="0" fontId="23" fillId="0" borderId="0" xfId="1" applyFont="1"/>
    <xf numFmtId="0" fontId="35" fillId="13" borderId="0" xfId="0" applyFont="1" applyFill="1" applyAlignment="1">
      <alignment horizontal="left" vertical="center" wrapText="1"/>
    </xf>
    <xf numFmtId="0" fontId="35" fillId="0" borderId="6" xfId="0" applyFont="1" applyBorder="1" applyAlignment="1">
      <alignment horizontal="center"/>
    </xf>
    <xf numFmtId="0" fontId="0" fillId="0" borderId="6" xfId="0" applyFont="1" applyBorder="1"/>
    <xf numFmtId="0" fontId="39" fillId="15" borderId="6" xfId="0" applyFont="1" applyFill="1" applyBorder="1"/>
    <xf numFmtId="0" fontId="39" fillId="16" borderId="6" xfId="0" applyFont="1" applyFill="1" applyBorder="1"/>
  </cellXfs>
  <cellStyles count="6">
    <cellStyle name="Comma 2" xfId="2" xr:uid="{1B876A1B-1BE5-4018-ACEE-ADE4819753E7}"/>
    <cellStyle name="Comma 2 2" xfId="5" xr:uid="{8A2AD8F7-78AF-4B8C-951E-9B1EBA50A458}"/>
    <cellStyle name="Hyperlink" xfId="3" builtinId="8"/>
    <cellStyle name="Hyperlink 2" xfId="4" xr:uid="{D55969D1-1D1F-45D8-9D34-2402F820FBE4}"/>
    <cellStyle name="Normal" xfId="0" builtinId="0"/>
    <cellStyle name="Normal 2" xfId="1" xr:uid="{B5DAC3F2-4184-4D40-B850-A040D9B31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EF26-1368-4E10-ADAB-1B54F3581510}">
  <sheetPr codeName="Sheet3"/>
  <dimension ref="A3:D22"/>
  <sheetViews>
    <sheetView workbookViewId="0">
      <selection activeCell="D20" sqref="D20"/>
    </sheetView>
  </sheetViews>
  <sheetFormatPr defaultRowHeight="15" x14ac:dyDescent="0.25"/>
  <cols>
    <col min="1" max="1" width="2" style="1" bestFit="1" customWidth="1"/>
    <col min="2" max="2" width="33.5703125" style="1" customWidth="1"/>
    <col min="3" max="3" width="9.140625" style="1"/>
    <col min="4" max="4" width="8.42578125" style="1" bestFit="1" customWidth="1"/>
    <col min="5" max="16384" width="9.140625" style="1"/>
  </cols>
  <sheetData>
    <row r="3" spans="1:4" x14ac:dyDescent="0.25">
      <c r="B3" s="2" t="s">
        <v>0</v>
      </c>
      <c r="C3" s="2" t="s">
        <v>1</v>
      </c>
      <c r="D3" s="2" t="s">
        <v>2</v>
      </c>
    </row>
    <row r="4" spans="1:4" x14ac:dyDescent="0.25">
      <c r="B4" s="3" t="s">
        <v>3</v>
      </c>
      <c r="C4" s="3" t="s">
        <v>4</v>
      </c>
      <c r="D4" s="3">
        <v>43</v>
      </c>
    </row>
    <row r="5" spans="1:4" x14ac:dyDescent="0.25">
      <c r="B5" s="3" t="s">
        <v>3</v>
      </c>
      <c r="C5" s="3" t="s">
        <v>5</v>
      </c>
      <c r="D5" s="3">
        <v>59</v>
      </c>
    </row>
    <row r="6" spans="1:4" x14ac:dyDescent="0.25">
      <c r="B6" s="3" t="s">
        <v>3</v>
      </c>
      <c r="C6" s="3" t="s">
        <v>6</v>
      </c>
      <c r="D6" s="3">
        <v>72</v>
      </c>
    </row>
    <row r="7" spans="1:4" x14ac:dyDescent="0.25">
      <c r="B7" s="4" t="s">
        <v>7</v>
      </c>
      <c r="C7" s="4" t="s">
        <v>8</v>
      </c>
      <c r="D7" s="4">
        <v>119</v>
      </c>
    </row>
    <row r="8" spans="1:4" x14ac:dyDescent="0.25">
      <c r="B8" s="4" t="s">
        <v>7</v>
      </c>
      <c r="C8" s="4" t="s">
        <v>9</v>
      </c>
      <c r="D8" s="4">
        <v>175</v>
      </c>
    </row>
    <row r="9" spans="1:4" x14ac:dyDescent="0.25">
      <c r="B9" s="4" t="s">
        <v>7</v>
      </c>
      <c r="C9" s="4" t="s">
        <v>10</v>
      </c>
      <c r="D9" s="4">
        <v>192</v>
      </c>
    </row>
    <row r="10" spans="1:4" x14ac:dyDescent="0.25">
      <c r="B10" s="5" t="s">
        <v>11</v>
      </c>
      <c r="C10" s="5" t="s">
        <v>12</v>
      </c>
      <c r="D10" s="5">
        <v>240</v>
      </c>
    </row>
    <row r="11" spans="1:4" x14ac:dyDescent="0.25">
      <c r="B11" s="5" t="s">
        <v>11</v>
      </c>
      <c r="C11" s="5" t="s">
        <v>13</v>
      </c>
      <c r="D11" s="5">
        <v>405</v>
      </c>
    </row>
    <row r="12" spans="1:4" x14ac:dyDescent="0.25">
      <c r="B12" s="5" t="s">
        <v>11</v>
      </c>
      <c r="C12" s="5" t="s">
        <v>14</v>
      </c>
      <c r="D12" s="5">
        <v>522</v>
      </c>
    </row>
    <row r="14" spans="1:4" x14ac:dyDescent="0.25">
      <c r="B14" s="6" t="s">
        <v>15</v>
      </c>
    </row>
    <row r="15" spans="1:4" ht="15.75" thickBot="1" x14ac:dyDescent="0.3"/>
    <row r="16" spans="1:4" ht="15.75" thickBot="1" x14ac:dyDescent="0.3">
      <c r="A16" s="7">
        <v>1</v>
      </c>
      <c r="B16" s="7" t="s">
        <v>16</v>
      </c>
      <c r="D16" s="8">
        <f>AVERAGE(D4:D6)</f>
        <v>58</v>
      </c>
    </row>
    <row r="17" spans="1:4" ht="15.75" thickBot="1" x14ac:dyDescent="0.3"/>
    <row r="18" spans="1:4" ht="15.75" thickBot="1" x14ac:dyDescent="0.3">
      <c r="A18" s="7">
        <v>2</v>
      </c>
      <c r="B18" s="7" t="s">
        <v>17</v>
      </c>
      <c r="D18" s="8">
        <f>AVERAGE(D7:D9)</f>
        <v>162</v>
      </c>
    </row>
    <row r="19" spans="1:4" ht="15.75" thickBot="1" x14ac:dyDescent="0.3"/>
    <row r="20" spans="1:4" ht="15.75" thickBot="1" x14ac:dyDescent="0.3">
      <c r="A20" s="7">
        <v>3</v>
      </c>
      <c r="B20" s="7" t="s">
        <v>18</v>
      </c>
      <c r="D20" s="8">
        <f>AVERAGE(D10:D12)</f>
        <v>389</v>
      </c>
    </row>
    <row r="21" spans="1:4" ht="15.75" thickBot="1" x14ac:dyDescent="0.3"/>
    <row r="22" spans="1:4" ht="15.75" thickBot="1" x14ac:dyDescent="0.3">
      <c r="A22" s="7">
        <v>4</v>
      </c>
      <c r="B22" s="7" t="s">
        <v>19</v>
      </c>
      <c r="D22" s="9">
        <f>AVERAGE(D4:D12)</f>
        <v>203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7D69-1241-41FD-A12E-599C4326380C}">
  <sheetPr codeName="Sheet4"/>
  <dimension ref="A1:C24"/>
  <sheetViews>
    <sheetView workbookViewId="0">
      <selection activeCell="B25" sqref="B25"/>
    </sheetView>
  </sheetViews>
  <sheetFormatPr defaultRowHeight="15" x14ac:dyDescent="0.25"/>
  <cols>
    <col min="1" max="1" width="47.5703125" style="1" customWidth="1"/>
    <col min="2" max="2" width="27.42578125" style="1" customWidth="1"/>
    <col min="3" max="3" width="17.7109375" style="1" customWidth="1"/>
    <col min="4" max="16384" width="9.140625" style="1"/>
  </cols>
  <sheetData>
    <row r="1" spans="1:3" x14ac:dyDescent="0.25">
      <c r="A1" s="7" t="s">
        <v>20</v>
      </c>
    </row>
    <row r="2" spans="1:3" x14ac:dyDescent="0.25">
      <c r="A2" s="7" t="s">
        <v>21</v>
      </c>
    </row>
    <row r="3" spans="1:3" x14ac:dyDescent="0.25">
      <c r="A3" s="6" t="s">
        <v>22</v>
      </c>
      <c r="B3" s="6" t="s">
        <v>23</v>
      </c>
      <c r="C3" s="6" t="s">
        <v>24</v>
      </c>
    </row>
    <row r="4" spans="1:3" x14ac:dyDescent="0.25">
      <c r="A4" s="7" t="s">
        <v>25</v>
      </c>
      <c r="B4" s="10">
        <v>43101</v>
      </c>
      <c r="C4" s="7">
        <v>152</v>
      </c>
    </row>
    <row r="5" spans="1:3" x14ac:dyDescent="0.25">
      <c r="A5" s="7" t="s">
        <v>26</v>
      </c>
      <c r="B5" s="10">
        <v>43101</v>
      </c>
      <c r="C5" s="7">
        <v>171</v>
      </c>
    </row>
    <row r="6" spans="1:3" x14ac:dyDescent="0.25">
      <c r="A6" s="7" t="s">
        <v>27</v>
      </c>
      <c r="B6" s="10">
        <v>43101</v>
      </c>
      <c r="C6" s="7">
        <v>110</v>
      </c>
    </row>
    <row r="7" spans="1:3" x14ac:dyDescent="0.25">
      <c r="A7" s="7" t="s">
        <v>28</v>
      </c>
      <c r="B7" s="10">
        <v>43132</v>
      </c>
      <c r="C7" s="7">
        <v>173</v>
      </c>
    </row>
    <row r="8" spans="1:3" x14ac:dyDescent="0.25">
      <c r="A8" s="7" t="s">
        <v>29</v>
      </c>
      <c r="B8" s="10">
        <v>43132</v>
      </c>
      <c r="C8" s="7">
        <v>128</v>
      </c>
    </row>
    <row r="9" spans="1:3" x14ac:dyDescent="0.25">
      <c r="A9" s="7" t="s">
        <v>30</v>
      </c>
      <c r="B9" s="10">
        <v>43132</v>
      </c>
      <c r="C9" s="7">
        <v>107</v>
      </c>
    </row>
    <row r="10" spans="1:3" x14ac:dyDescent="0.25">
      <c r="A10" s="7" t="s">
        <v>31</v>
      </c>
      <c r="B10" s="10">
        <v>43160</v>
      </c>
      <c r="C10" s="7">
        <v>213</v>
      </c>
    </row>
    <row r="11" spans="1:3" x14ac:dyDescent="0.25">
      <c r="A11" s="7" t="s">
        <v>32</v>
      </c>
      <c r="B11" s="10">
        <v>43160</v>
      </c>
      <c r="C11" s="7">
        <v>238</v>
      </c>
    </row>
    <row r="12" spans="1:3" x14ac:dyDescent="0.25">
      <c r="A12" s="7" t="s">
        <v>33</v>
      </c>
      <c r="B12" s="10">
        <v>43160</v>
      </c>
      <c r="C12" s="7">
        <v>131</v>
      </c>
    </row>
    <row r="14" spans="1:3" x14ac:dyDescent="0.25">
      <c r="A14" s="7" t="s">
        <v>34</v>
      </c>
    </row>
    <row r="16" spans="1:3" x14ac:dyDescent="0.25">
      <c r="A16" s="10">
        <v>43101</v>
      </c>
      <c r="B16" s="11">
        <f>AVERAGE(C4:C6)</f>
        <v>144.33333333333334</v>
      </c>
      <c r="C16" s="7"/>
    </row>
    <row r="17" spans="1:3" x14ac:dyDescent="0.25">
      <c r="A17" s="10">
        <v>43132</v>
      </c>
      <c r="B17" s="11">
        <f>AVERAGE(C7:C9)</f>
        <v>136</v>
      </c>
      <c r="C17" s="7"/>
    </row>
    <row r="18" spans="1:3" x14ac:dyDescent="0.25">
      <c r="A18" s="10">
        <v>43160</v>
      </c>
      <c r="B18" s="11">
        <f>AVERAGE(C10:C12)</f>
        <v>194</v>
      </c>
      <c r="C18" s="7"/>
    </row>
    <row r="21" spans="1:3" x14ac:dyDescent="0.25">
      <c r="A21" s="7" t="s">
        <v>35</v>
      </c>
    </row>
    <row r="23" spans="1:3" x14ac:dyDescent="0.25">
      <c r="A23" s="7" t="s">
        <v>36</v>
      </c>
      <c r="B23" s="11">
        <f>SUM(C4:C12)/9</f>
        <v>158.11111111111111</v>
      </c>
      <c r="C23" s="7"/>
    </row>
    <row r="24" spans="1:3" x14ac:dyDescent="0.25">
      <c r="A24" s="7" t="s">
        <v>37</v>
      </c>
      <c r="B24" s="11">
        <f>AVERAGE(C4:C12)</f>
        <v>158.11111111111111</v>
      </c>
      <c r="C24" s="7"/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1378-91C3-46E2-B4C6-C5453B1DB0BA}">
  <sheetPr codeName="Sheet5"/>
  <dimension ref="A1:G18"/>
  <sheetViews>
    <sheetView workbookViewId="0">
      <selection activeCell="B16" sqref="B16"/>
    </sheetView>
  </sheetViews>
  <sheetFormatPr defaultRowHeight="15" x14ac:dyDescent="0.25"/>
  <cols>
    <col min="1" max="1" width="19.28515625" style="1" customWidth="1"/>
    <col min="2" max="2" width="16.28515625" style="1" bestFit="1" customWidth="1"/>
    <col min="3" max="16384" width="9.140625" style="1"/>
  </cols>
  <sheetData>
    <row r="1" spans="1:7" x14ac:dyDescent="0.25">
      <c r="A1" s="12" t="s">
        <v>38</v>
      </c>
      <c r="B1" s="13"/>
      <c r="C1" s="13"/>
      <c r="D1" s="13"/>
      <c r="E1" s="13"/>
      <c r="F1" s="13"/>
      <c r="G1" s="13"/>
    </row>
    <row r="2" spans="1:7" x14ac:dyDescent="0.25">
      <c r="A2" s="14" t="s">
        <v>39</v>
      </c>
      <c r="B2" s="13"/>
      <c r="C2" s="13"/>
      <c r="D2" s="13"/>
      <c r="E2" s="13"/>
      <c r="F2" s="13"/>
      <c r="G2" s="13"/>
    </row>
    <row r="3" spans="1:7" x14ac:dyDescent="0.25">
      <c r="A3" s="15" t="s">
        <v>40</v>
      </c>
      <c r="B3" s="16" t="s">
        <v>41</v>
      </c>
      <c r="C3" s="13"/>
      <c r="D3" s="13"/>
      <c r="E3" s="13"/>
      <c r="F3" s="13"/>
      <c r="G3" s="13"/>
    </row>
    <row r="4" spans="1:7" x14ac:dyDescent="0.25">
      <c r="A4" s="15" t="s">
        <v>42</v>
      </c>
      <c r="B4" s="17">
        <v>7</v>
      </c>
      <c r="C4" s="13"/>
      <c r="D4" s="13"/>
      <c r="E4" s="13"/>
      <c r="F4" s="13"/>
      <c r="G4" s="13"/>
    </row>
    <row r="5" spans="1:7" x14ac:dyDescent="0.25">
      <c r="A5" s="15" t="s">
        <v>43</v>
      </c>
      <c r="B5" s="17">
        <v>5</v>
      </c>
      <c r="C5" s="13"/>
      <c r="D5" s="13"/>
      <c r="E5" s="13"/>
      <c r="F5" s="13"/>
      <c r="G5" s="13"/>
    </row>
    <row r="6" spans="1:7" x14ac:dyDescent="0.25">
      <c r="A6" s="15" t="s">
        <v>44</v>
      </c>
      <c r="B6" s="17">
        <v>6</v>
      </c>
      <c r="C6" s="13"/>
      <c r="D6" s="13"/>
      <c r="E6" s="13"/>
      <c r="F6" s="13"/>
      <c r="G6" s="13"/>
    </row>
    <row r="7" spans="1:7" x14ac:dyDescent="0.25">
      <c r="A7" s="15" t="s">
        <v>45</v>
      </c>
      <c r="B7" s="17">
        <v>4</v>
      </c>
      <c r="C7" s="13"/>
      <c r="D7" s="13"/>
      <c r="E7" s="13"/>
      <c r="F7" s="13"/>
      <c r="G7" s="13"/>
    </row>
    <row r="8" spans="1:7" x14ac:dyDescent="0.25">
      <c r="A8" s="15" t="s">
        <v>46</v>
      </c>
      <c r="B8" s="17" t="s">
        <v>47</v>
      </c>
      <c r="C8" s="13"/>
      <c r="D8" s="13"/>
      <c r="E8" s="13"/>
      <c r="F8" s="13"/>
      <c r="G8" s="13"/>
    </row>
    <row r="9" spans="1:7" x14ac:dyDescent="0.25">
      <c r="A9" s="15" t="s">
        <v>48</v>
      </c>
      <c r="B9" s="17" t="s">
        <v>49</v>
      </c>
      <c r="C9" s="13"/>
      <c r="D9" s="13"/>
      <c r="E9" s="13"/>
      <c r="F9" s="13"/>
      <c r="G9" s="13"/>
    </row>
    <row r="10" spans="1:7" x14ac:dyDescent="0.25">
      <c r="A10" s="15" t="s">
        <v>50</v>
      </c>
      <c r="B10" s="17" t="s">
        <v>50</v>
      </c>
      <c r="C10" s="13"/>
      <c r="D10" s="13"/>
      <c r="E10" s="13"/>
      <c r="F10" s="13"/>
      <c r="G10" s="13"/>
    </row>
    <row r="11" spans="1:7" x14ac:dyDescent="0.25">
      <c r="A11" s="13"/>
      <c r="B11" s="13"/>
      <c r="C11" s="13"/>
      <c r="D11" s="13"/>
      <c r="E11" s="13"/>
      <c r="F11" s="13"/>
      <c r="G11" s="13"/>
    </row>
    <row r="12" spans="1:7" x14ac:dyDescent="0.25">
      <c r="A12" s="14" t="s">
        <v>51</v>
      </c>
      <c r="B12" s="13"/>
      <c r="C12" s="13"/>
      <c r="D12" s="13"/>
      <c r="E12" s="13"/>
      <c r="F12" s="13"/>
      <c r="G12" s="13"/>
    </row>
    <row r="13" spans="1:7" x14ac:dyDescent="0.25">
      <c r="A13" s="13"/>
      <c r="B13" s="13"/>
      <c r="C13" s="13"/>
      <c r="D13" s="13"/>
      <c r="E13" s="13"/>
      <c r="F13" s="13"/>
      <c r="G13" s="13"/>
    </row>
    <row r="14" spans="1:7" ht="15.75" thickBot="1" x14ac:dyDescent="0.3">
      <c r="A14" s="14" t="s">
        <v>52</v>
      </c>
      <c r="B14" s="14" t="s">
        <v>53</v>
      </c>
      <c r="C14" s="13"/>
      <c r="D14" s="13"/>
      <c r="E14" s="13"/>
      <c r="F14" s="13"/>
      <c r="G14" s="13"/>
    </row>
    <row r="15" spans="1:7" ht="15.75" thickBot="1" x14ac:dyDescent="0.3">
      <c r="A15" s="14" t="s">
        <v>41</v>
      </c>
      <c r="B15" s="18">
        <f>COUNT(B4:B10)</f>
        <v>4</v>
      </c>
      <c r="C15" s="14"/>
      <c r="D15" s="13"/>
      <c r="E15" s="13"/>
      <c r="F15" s="13"/>
      <c r="G15" s="13"/>
    </row>
    <row r="16" spans="1:7" x14ac:dyDescent="0.25">
      <c r="A16" s="13"/>
      <c r="B16" s="13"/>
      <c r="C16" s="13"/>
      <c r="D16" s="13"/>
      <c r="E16" s="13"/>
      <c r="F16" s="13"/>
      <c r="G16" s="13"/>
    </row>
    <row r="17" spans="1:7" ht="15.75" thickBot="1" x14ac:dyDescent="0.3">
      <c r="A17" s="14" t="s">
        <v>52</v>
      </c>
      <c r="B17" s="14" t="s">
        <v>54</v>
      </c>
      <c r="C17" s="13"/>
      <c r="D17" s="13"/>
      <c r="E17" s="13"/>
      <c r="F17" s="13"/>
      <c r="G17" s="13"/>
    </row>
    <row r="18" spans="1:7" ht="15.75" thickBot="1" x14ac:dyDescent="0.3">
      <c r="A18" s="14" t="s">
        <v>41</v>
      </c>
      <c r="B18" s="18">
        <f>COUNTA(B4:B10)</f>
        <v>7</v>
      </c>
      <c r="C18" s="14"/>
      <c r="D18" s="13"/>
      <c r="E18" s="13"/>
      <c r="F18" s="13"/>
      <c r="G18" s="13"/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CDB0-63ED-489B-8EE8-91911A7F9FAE}">
  <sheetPr codeName="Sheet6"/>
  <dimension ref="A1:F27"/>
  <sheetViews>
    <sheetView workbookViewId="0">
      <selection activeCell="B27" sqref="B27"/>
    </sheetView>
  </sheetViews>
  <sheetFormatPr defaultRowHeight="15" x14ac:dyDescent="0.25"/>
  <cols>
    <col min="1" max="1" width="19.28515625" style="21" customWidth="1"/>
    <col min="2" max="2" width="16.28515625" style="21" bestFit="1" customWidth="1"/>
    <col min="3" max="16384" width="9.140625" style="21"/>
  </cols>
  <sheetData>
    <row r="1" spans="1:6" x14ac:dyDescent="0.25">
      <c r="A1" s="19" t="s">
        <v>55</v>
      </c>
      <c r="B1" s="20"/>
      <c r="C1" s="20"/>
      <c r="D1" s="20"/>
      <c r="E1" s="20"/>
      <c r="F1" s="20"/>
    </row>
    <row r="2" spans="1:6" x14ac:dyDescent="0.25">
      <c r="A2" s="19" t="s">
        <v>56</v>
      </c>
      <c r="B2" s="20"/>
      <c r="C2" s="20"/>
      <c r="D2" s="20"/>
      <c r="E2" s="20"/>
      <c r="F2" s="20"/>
    </row>
    <row r="3" spans="1:6" x14ac:dyDescent="0.25">
      <c r="A3" s="22" t="s">
        <v>57</v>
      </c>
      <c r="B3" s="22" t="s">
        <v>58</v>
      </c>
      <c r="C3" s="22" t="s">
        <v>59</v>
      </c>
      <c r="D3" s="20"/>
      <c r="E3" s="20"/>
      <c r="F3" s="20"/>
    </row>
    <row r="4" spans="1:6" x14ac:dyDescent="0.25">
      <c r="A4" s="23">
        <v>101</v>
      </c>
      <c r="B4" s="23" t="s">
        <v>60</v>
      </c>
      <c r="C4" s="24">
        <v>78022</v>
      </c>
      <c r="D4" s="20"/>
      <c r="E4" s="20"/>
      <c r="F4" s="20"/>
    </row>
    <row r="5" spans="1:6" x14ac:dyDescent="0.25">
      <c r="A5" s="23">
        <v>102</v>
      </c>
      <c r="B5" s="23" t="s">
        <v>61</v>
      </c>
      <c r="C5" s="24">
        <v>99819</v>
      </c>
      <c r="D5" s="20"/>
      <c r="E5" s="20"/>
      <c r="F5" s="20"/>
    </row>
    <row r="6" spans="1:6" x14ac:dyDescent="0.25">
      <c r="A6" s="23">
        <v>103</v>
      </c>
      <c r="B6" s="23" t="s">
        <v>62</v>
      </c>
      <c r="C6" s="25" t="s">
        <v>63</v>
      </c>
      <c r="D6" s="20"/>
      <c r="E6" s="20"/>
      <c r="F6" s="20"/>
    </row>
    <row r="7" spans="1:6" x14ac:dyDescent="0.25">
      <c r="A7" s="23">
        <v>104</v>
      </c>
      <c r="B7" s="23" t="s">
        <v>64</v>
      </c>
      <c r="C7" s="24">
        <v>27522</v>
      </c>
      <c r="D7" s="20"/>
      <c r="E7" s="20"/>
      <c r="F7" s="20"/>
    </row>
    <row r="8" spans="1:6" x14ac:dyDescent="0.25">
      <c r="A8" s="23">
        <v>105</v>
      </c>
      <c r="B8" s="23" t="s">
        <v>65</v>
      </c>
      <c r="C8" s="26">
        <v>0</v>
      </c>
      <c r="D8" s="20"/>
      <c r="E8" s="20"/>
      <c r="F8" s="20"/>
    </row>
    <row r="9" spans="1:6" x14ac:dyDescent="0.25">
      <c r="A9" s="23">
        <v>106</v>
      </c>
      <c r="B9" s="23" t="s">
        <v>66</v>
      </c>
      <c r="C9" s="26"/>
      <c r="D9" s="20"/>
      <c r="E9" s="20"/>
      <c r="F9" s="20"/>
    </row>
    <row r="10" spans="1:6" x14ac:dyDescent="0.25">
      <c r="A10" s="23">
        <v>107</v>
      </c>
      <c r="B10" s="23" t="s">
        <v>67</v>
      </c>
      <c r="C10" s="26">
        <v>0</v>
      </c>
      <c r="D10" s="20"/>
      <c r="E10" s="20"/>
      <c r="F10" s="20"/>
    </row>
    <row r="11" spans="1:6" x14ac:dyDescent="0.25">
      <c r="A11" s="23">
        <v>108</v>
      </c>
      <c r="B11" s="23" t="s">
        <v>68</v>
      </c>
      <c r="C11" s="24">
        <v>88041</v>
      </c>
      <c r="D11" s="20"/>
      <c r="E11" s="20"/>
      <c r="F11" s="20"/>
    </row>
    <row r="12" spans="1:6" x14ac:dyDescent="0.25">
      <c r="A12" s="23">
        <v>109</v>
      </c>
      <c r="B12" s="23" t="s">
        <v>69</v>
      </c>
      <c r="C12" s="24">
        <v>81831</v>
      </c>
      <c r="D12" s="20"/>
      <c r="E12" s="20"/>
      <c r="F12" s="20"/>
    </row>
    <row r="13" spans="1:6" x14ac:dyDescent="0.25">
      <c r="A13" s="23">
        <v>110</v>
      </c>
      <c r="B13" s="23" t="s">
        <v>70</v>
      </c>
      <c r="C13" s="25" t="s">
        <v>63</v>
      </c>
      <c r="D13" s="20"/>
      <c r="E13" s="20"/>
      <c r="F13" s="20"/>
    </row>
    <row r="14" spans="1:6" x14ac:dyDescent="0.25">
      <c r="A14" s="23">
        <v>111</v>
      </c>
      <c r="B14" s="23" t="s">
        <v>71</v>
      </c>
      <c r="C14" s="24"/>
      <c r="D14" s="20"/>
      <c r="E14" s="20"/>
      <c r="F14" s="20"/>
    </row>
    <row r="15" spans="1:6" ht="24" x14ac:dyDescent="0.25">
      <c r="A15" s="23">
        <v>112</v>
      </c>
      <c r="B15" s="23" t="s">
        <v>72</v>
      </c>
      <c r="C15" s="24">
        <v>26624</v>
      </c>
      <c r="D15" s="20"/>
      <c r="E15" s="20"/>
      <c r="F15" s="20"/>
    </row>
    <row r="16" spans="1:6" ht="24" x14ac:dyDescent="0.25">
      <c r="A16" s="23">
        <v>113</v>
      </c>
      <c r="B16" s="23" t="s">
        <v>73</v>
      </c>
      <c r="C16" s="24">
        <v>92885</v>
      </c>
      <c r="D16" s="20"/>
      <c r="E16" s="20"/>
      <c r="F16" s="20"/>
    </row>
    <row r="17" spans="1:6" ht="24" x14ac:dyDescent="0.25">
      <c r="A17" s="23">
        <v>114</v>
      </c>
      <c r="B17" s="23" t="s">
        <v>74</v>
      </c>
      <c r="C17" s="26">
        <v>0</v>
      </c>
      <c r="D17" s="20"/>
      <c r="E17" s="20"/>
      <c r="F17" s="20"/>
    </row>
    <row r="18" spans="1:6" x14ac:dyDescent="0.25">
      <c r="A18" s="20"/>
      <c r="B18" s="20"/>
      <c r="C18" s="20"/>
      <c r="D18" s="20"/>
      <c r="E18" s="20"/>
      <c r="F18" s="20"/>
    </row>
    <row r="19" spans="1:6" x14ac:dyDescent="0.25">
      <c r="A19" s="19" t="s">
        <v>75</v>
      </c>
      <c r="B19" s="20"/>
      <c r="C19" s="20"/>
      <c r="D19" s="20"/>
      <c r="E19" s="20"/>
      <c r="F19" s="20"/>
    </row>
    <row r="20" spans="1:6" ht="15.75" thickBot="1" x14ac:dyDescent="0.3">
      <c r="A20" s="20" t="s">
        <v>52</v>
      </c>
      <c r="B20" s="20" t="s">
        <v>76</v>
      </c>
      <c r="C20" s="20"/>
      <c r="D20" s="20"/>
      <c r="E20" s="20"/>
      <c r="F20" s="20"/>
    </row>
    <row r="21" spans="1:6" ht="15.75" thickBot="1" x14ac:dyDescent="0.3">
      <c r="A21" s="20" t="s">
        <v>41</v>
      </c>
      <c r="B21" s="27">
        <f>COUNT(C4:C17)</f>
        <v>10</v>
      </c>
      <c r="C21" s="20"/>
      <c r="D21" s="20"/>
      <c r="E21" s="20"/>
      <c r="F21" s="20"/>
    </row>
    <row r="22" spans="1:6" x14ac:dyDescent="0.25">
      <c r="A22" s="20"/>
      <c r="B22" s="20"/>
      <c r="C22" s="20"/>
      <c r="D22" s="20"/>
      <c r="E22" s="20"/>
      <c r="F22" s="20"/>
    </row>
    <row r="23" spans="1:6" x14ac:dyDescent="0.25">
      <c r="A23" s="20"/>
      <c r="B23" s="20" t="s">
        <v>77</v>
      </c>
      <c r="C23" s="20"/>
      <c r="D23" s="20"/>
      <c r="E23" s="20"/>
      <c r="F23" s="20"/>
    </row>
    <row r="24" spans="1:6" x14ac:dyDescent="0.25">
      <c r="A24" s="20"/>
      <c r="B24" s="20"/>
      <c r="C24" s="20"/>
      <c r="D24" s="20"/>
      <c r="E24" s="20"/>
      <c r="F24" s="20"/>
    </row>
    <row r="25" spans="1:6" x14ac:dyDescent="0.25">
      <c r="A25" s="20"/>
      <c r="B25" s="20"/>
      <c r="C25" s="20"/>
      <c r="D25" s="20"/>
      <c r="E25" s="20"/>
      <c r="F25" s="20"/>
    </row>
    <row r="26" spans="1:6" ht="15.75" thickBot="1" x14ac:dyDescent="0.3">
      <c r="A26" s="20" t="s">
        <v>52</v>
      </c>
      <c r="B26" s="20" t="s">
        <v>78</v>
      </c>
      <c r="C26" s="20"/>
      <c r="D26" s="20"/>
      <c r="E26" s="20"/>
      <c r="F26" s="20"/>
    </row>
    <row r="27" spans="1:6" ht="15.75" thickBot="1" x14ac:dyDescent="0.3">
      <c r="A27" s="20" t="s">
        <v>41</v>
      </c>
      <c r="B27" s="27">
        <f>COUNTA(C4:C17)</f>
        <v>12</v>
      </c>
      <c r="C27" s="20"/>
      <c r="D27" s="20"/>
      <c r="E27" s="20"/>
      <c r="F27" s="20"/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40B1-B3C5-436C-AD7B-5C22178ABFA8}">
  <sheetPr codeName="Sheet7"/>
  <dimension ref="A1:F28"/>
  <sheetViews>
    <sheetView workbookViewId="0">
      <selection activeCell="B24" sqref="B24"/>
    </sheetView>
  </sheetViews>
  <sheetFormatPr defaultRowHeight="15" x14ac:dyDescent="0.25"/>
  <cols>
    <col min="1" max="1" width="2" style="1" bestFit="1" customWidth="1"/>
    <col min="2" max="2" width="16.28515625" style="1" bestFit="1" customWidth="1"/>
    <col min="3" max="16384" width="9.140625" style="1"/>
  </cols>
  <sheetData>
    <row r="1" spans="1:6" x14ac:dyDescent="0.25">
      <c r="A1" s="13"/>
      <c r="B1" s="14" t="s">
        <v>79</v>
      </c>
      <c r="C1" s="13"/>
      <c r="D1" s="13"/>
      <c r="E1" s="13"/>
      <c r="F1" s="13"/>
    </row>
    <row r="2" spans="1:6" ht="15.75" thickBot="1" x14ac:dyDescent="0.3">
      <c r="A2" s="13"/>
      <c r="B2" s="13"/>
      <c r="C2" s="13"/>
      <c r="D2" s="13"/>
      <c r="E2" s="13"/>
      <c r="F2" s="13"/>
    </row>
    <row r="3" spans="1:6" x14ac:dyDescent="0.25">
      <c r="A3" s="13"/>
      <c r="B3" s="28"/>
      <c r="C3" s="13"/>
      <c r="D3" s="13"/>
      <c r="E3" s="13"/>
      <c r="F3" s="13"/>
    </row>
    <row r="4" spans="1:6" x14ac:dyDescent="0.25">
      <c r="A4" s="13"/>
      <c r="B4" s="29" t="s">
        <v>80</v>
      </c>
      <c r="C4" s="13"/>
      <c r="D4" s="13"/>
      <c r="E4" s="13"/>
      <c r="F4" s="13"/>
    </row>
    <row r="5" spans="1:6" x14ac:dyDescent="0.25">
      <c r="A5" s="13"/>
      <c r="B5" s="29">
        <v>4</v>
      </c>
      <c r="C5" s="13"/>
      <c r="D5" s="13"/>
      <c r="E5" s="13"/>
      <c r="F5" s="13"/>
    </row>
    <row r="6" spans="1:6" x14ac:dyDescent="0.25">
      <c r="A6" s="13"/>
      <c r="B6" s="29"/>
      <c r="C6" s="13"/>
      <c r="D6" s="13"/>
      <c r="E6" s="13"/>
      <c r="F6" s="13"/>
    </row>
    <row r="7" spans="1:6" x14ac:dyDescent="0.25">
      <c r="A7" s="13"/>
      <c r="B7" s="29">
        <v>3</v>
      </c>
      <c r="C7" s="13"/>
      <c r="D7" s="13"/>
      <c r="E7" s="13"/>
      <c r="F7" s="13"/>
    </row>
    <row r="8" spans="1:6" x14ac:dyDescent="0.25">
      <c r="A8" s="13"/>
      <c r="B8" s="29"/>
      <c r="C8" s="13"/>
      <c r="D8" s="13"/>
      <c r="E8" s="13"/>
      <c r="F8" s="13"/>
    </row>
    <row r="9" spans="1:6" x14ac:dyDescent="0.25">
      <c r="A9" s="13"/>
      <c r="B9" s="29" t="s">
        <v>81</v>
      </c>
      <c r="C9" s="13"/>
      <c r="D9" s="13"/>
      <c r="E9" s="13"/>
      <c r="F9" s="13"/>
    </row>
    <row r="10" spans="1:6" x14ac:dyDescent="0.25">
      <c r="A10" s="13"/>
      <c r="B10" s="29"/>
      <c r="C10" s="13"/>
      <c r="D10" s="13"/>
      <c r="E10" s="13"/>
      <c r="F10" s="13"/>
    </row>
    <row r="11" spans="1:6" x14ac:dyDescent="0.25">
      <c r="A11" s="13"/>
      <c r="B11" s="29" t="e">
        <v>#DIV/0!</v>
      </c>
      <c r="C11" s="13"/>
      <c r="D11" s="13"/>
      <c r="E11" s="13"/>
      <c r="F11" s="13"/>
    </row>
    <row r="12" spans="1:6" x14ac:dyDescent="0.25">
      <c r="A12" s="13"/>
      <c r="B12" s="29" t="s">
        <v>82</v>
      </c>
      <c r="C12" s="13"/>
      <c r="D12" s="13"/>
      <c r="E12" s="13"/>
      <c r="F12" s="13"/>
    </row>
    <row r="13" spans="1:6" ht="15.75" thickBot="1" x14ac:dyDescent="0.3">
      <c r="A13" s="13"/>
      <c r="B13" s="30" t="s">
        <v>83</v>
      </c>
      <c r="C13" s="13"/>
      <c r="D13" s="13"/>
      <c r="E13" s="13"/>
      <c r="F13" s="13"/>
    </row>
    <row r="14" spans="1:6" x14ac:dyDescent="0.25">
      <c r="A14" s="13"/>
      <c r="B14" s="13"/>
      <c r="C14" s="13"/>
      <c r="D14" s="13"/>
      <c r="E14" s="13"/>
      <c r="F14" s="13"/>
    </row>
    <row r="15" spans="1:6" x14ac:dyDescent="0.25">
      <c r="A15" s="13"/>
      <c r="B15" s="14" t="s">
        <v>84</v>
      </c>
      <c r="C15" s="13"/>
      <c r="D15" s="13"/>
      <c r="E15" s="13"/>
      <c r="F15" s="13"/>
    </row>
    <row r="16" spans="1:6" x14ac:dyDescent="0.25">
      <c r="A16" s="13"/>
      <c r="B16" s="13"/>
      <c r="C16" s="13"/>
      <c r="D16" s="13"/>
      <c r="E16" s="13"/>
      <c r="F16" s="13"/>
    </row>
    <row r="17" spans="1:6" x14ac:dyDescent="0.25">
      <c r="A17" s="14">
        <v>1</v>
      </c>
      <c r="B17" s="14" t="s">
        <v>85</v>
      </c>
      <c r="C17" s="13"/>
      <c r="D17" s="13"/>
      <c r="E17" s="13"/>
      <c r="F17" s="13"/>
    </row>
    <row r="18" spans="1:6" x14ac:dyDescent="0.25">
      <c r="A18" s="13"/>
      <c r="B18" s="31">
        <f>COUNT(B3:B13)</f>
        <v>2</v>
      </c>
      <c r="C18" s="14"/>
      <c r="D18" s="13"/>
      <c r="E18" s="13"/>
      <c r="F18" s="13"/>
    </row>
    <row r="19" spans="1:6" x14ac:dyDescent="0.25">
      <c r="A19" s="13"/>
      <c r="B19" s="13"/>
      <c r="C19" s="13"/>
      <c r="D19" s="13"/>
      <c r="E19" s="13"/>
      <c r="F19" s="13"/>
    </row>
    <row r="20" spans="1:6" x14ac:dyDescent="0.25">
      <c r="A20" s="14">
        <v>2</v>
      </c>
      <c r="B20" s="14" t="s">
        <v>86</v>
      </c>
      <c r="C20" s="13"/>
      <c r="D20" s="13"/>
      <c r="E20" s="13"/>
      <c r="F20" s="13"/>
    </row>
    <row r="21" spans="1:6" x14ac:dyDescent="0.25">
      <c r="A21" s="13"/>
      <c r="B21" s="31">
        <f>COUNTBLANK(B3:B13)</f>
        <v>4</v>
      </c>
      <c r="C21" s="14"/>
      <c r="D21" s="13"/>
      <c r="E21" s="13"/>
      <c r="F21" s="13"/>
    </row>
    <row r="22" spans="1:6" x14ac:dyDescent="0.25">
      <c r="A22" s="13"/>
      <c r="B22" s="13"/>
      <c r="C22" s="13"/>
      <c r="D22" s="13"/>
      <c r="E22" s="13"/>
      <c r="F22" s="13"/>
    </row>
    <row r="23" spans="1:6" x14ac:dyDescent="0.25">
      <c r="A23" s="14">
        <v>3</v>
      </c>
      <c r="B23" s="14" t="s">
        <v>87</v>
      </c>
      <c r="C23" s="13"/>
      <c r="D23" s="13"/>
      <c r="E23" s="13"/>
      <c r="F23" s="13"/>
    </row>
    <row r="24" spans="1:6" x14ac:dyDescent="0.25">
      <c r="A24" s="13"/>
      <c r="B24" s="31">
        <f>COUNTA(B3:B13)-COUNTBLANK(B3:B13)</f>
        <v>3</v>
      </c>
      <c r="C24" s="14"/>
      <c r="D24" s="13"/>
      <c r="E24" s="13"/>
      <c r="F24" s="13"/>
    </row>
    <row r="25" spans="1:6" x14ac:dyDescent="0.25">
      <c r="A25" s="13"/>
      <c r="B25" s="13"/>
      <c r="C25" s="13"/>
      <c r="D25" s="13"/>
      <c r="E25" s="13"/>
      <c r="F25" s="13"/>
    </row>
    <row r="26" spans="1:6" x14ac:dyDescent="0.25">
      <c r="A26" s="14">
        <v>4</v>
      </c>
      <c r="B26" s="14" t="s">
        <v>88</v>
      </c>
      <c r="C26" s="13"/>
      <c r="D26" s="13"/>
      <c r="E26" s="13"/>
      <c r="F26" s="13"/>
    </row>
    <row r="27" spans="1:6" x14ac:dyDescent="0.25">
      <c r="B27" s="31">
        <f>COUNTA(B3:B13)</f>
        <v>7</v>
      </c>
      <c r="C27" s="14"/>
      <c r="D27" s="13"/>
      <c r="E27" s="13"/>
      <c r="F27" s="13"/>
    </row>
    <row r="28" spans="1:6" x14ac:dyDescent="0.25">
      <c r="A28" s="13"/>
      <c r="B28" s="13"/>
      <c r="C28" s="13"/>
      <c r="D28" s="13"/>
      <c r="E28" s="13"/>
      <c r="F28" s="13"/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440D-0BE3-4F9B-B70A-6315C111C8F0}">
  <sheetPr codeName="Sheet8">
    <tabColor rgb="FFFF0000"/>
  </sheetPr>
  <dimension ref="A1:L41"/>
  <sheetViews>
    <sheetView showGridLines="0" workbookViewId="0">
      <selection activeCell="C34" sqref="C34"/>
    </sheetView>
  </sheetViews>
  <sheetFormatPr defaultColWidth="8.7109375" defaultRowHeight="15" outlineLevelRow="1" x14ac:dyDescent="0.25"/>
  <cols>
    <col min="1" max="1" width="2.5703125" style="36" customWidth="1"/>
    <col min="2" max="2" width="18.140625" style="32" customWidth="1"/>
    <col min="3" max="3" width="9.5703125" style="32" customWidth="1"/>
    <col min="4" max="4" width="9.7109375" style="32" bestFit="1" customWidth="1"/>
    <col min="5" max="5" width="11.42578125" style="32" bestFit="1" customWidth="1"/>
    <col min="6" max="6" width="8.85546875" style="32" bestFit="1" customWidth="1"/>
    <col min="7" max="7" width="9.42578125" style="32" bestFit="1" customWidth="1"/>
    <col min="8" max="8" width="11.140625" style="32" bestFit="1" customWidth="1"/>
    <col min="9" max="9" width="13.5703125" style="32" bestFit="1" customWidth="1"/>
    <col min="10" max="10" width="11.28515625" style="32" bestFit="1" customWidth="1"/>
    <col min="11" max="11" width="11.5703125" style="32" bestFit="1" customWidth="1"/>
    <col min="12" max="12" width="11.85546875" style="32" bestFit="1" customWidth="1"/>
    <col min="13" max="16384" width="8.7109375" style="32"/>
  </cols>
  <sheetData>
    <row r="1" spans="1:12" x14ac:dyDescent="0.25">
      <c r="A1" s="32"/>
    </row>
    <row r="2" spans="1:12" x14ac:dyDescent="0.25">
      <c r="A2" s="32"/>
      <c r="B2" s="33" t="s">
        <v>89</v>
      </c>
    </row>
    <row r="3" spans="1:12" x14ac:dyDescent="0.25">
      <c r="A3" s="32"/>
      <c r="B3" s="34" t="s">
        <v>90</v>
      </c>
      <c r="C3" s="34">
        <v>101</v>
      </c>
      <c r="D3" s="34">
        <v>102</v>
      </c>
      <c r="E3" s="34">
        <v>103</v>
      </c>
      <c r="F3" s="34">
        <v>104</v>
      </c>
      <c r="G3" s="34">
        <v>105</v>
      </c>
      <c r="H3" s="34">
        <v>106</v>
      </c>
      <c r="I3" s="34">
        <v>107</v>
      </c>
      <c r="J3" s="34">
        <v>108</v>
      </c>
      <c r="K3" s="34">
        <v>109</v>
      </c>
      <c r="L3" s="34">
        <v>110</v>
      </c>
    </row>
    <row r="4" spans="1:12" x14ac:dyDescent="0.25">
      <c r="A4" s="32"/>
      <c r="B4" s="34" t="s">
        <v>91</v>
      </c>
      <c r="C4" s="35" t="s">
        <v>92</v>
      </c>
      <c r="D4" s="35" t="s">
        <v>93</v>
      </c>
      <c r="E4" s="35" t="s">
        <v>94</v>
      </c>
      <c r="F4" s="35" t="s">
        <v>95</v>
      </c>
      <c r="G4" s="35" t="s">
        <v>96</v>
      </c>
      <c r="H4" s="35" t="s">
        <v>97</v>
      </c>
      <c r="I4" s="35" t="s">
        <v>98</v>
      </c>
      <c r="J4" s="35" t="s">
        <v>99</v>
      </c>
      <c r="K4" s="35" t="s">
        <v>100</v>
      </c>
      <c r="L4" s="35" t="s">
        <v>101</v>
      </c>
    </row>
    <row r="5" spans="1:12" x14ac:dyDescent="0.25">
      <c r="A5" s="32"/>
      <c r="B5" s="34" t="s">
        <v>102</v>
      </c>
      <c r="C5" s="35" t="s">
        <v>103</v>
      </c>
      <c r="D5" s="35" t="s">
        <v>104</v>
      </c>
      <c r="E5" s="35" t="s">
        <v>105</v>
      </c>
      <c r="F5" s="35" t="s">
        <v>106</v>
      </c>
      <c r="G5" s="35" t="s">
        <v>103</v>
      </c>
      <c r="H5" s="35" t="s">
        <v>104</v>
      </c>
      <c r="I5" s="35" t="s">
        <v>105</v>
      </c>
      <c r="J5" s="35" t="s">
        <v>106</v>
      </c>
      <c r="K5" s="35" t="s">
        <v>103</v>
      </c>
      <c r="L5" s="35" t="s">
        <v>104</v>
      </c>
    </row>
    <row r="6" spans="1:12" x14ac:dyDescent="0.25">
      <c r="A6" s="32"/>
      <c r="B6" s="34" t="s">
        <v>107</v>
      </c>
      <c r="C6" s="35">
        <v>50000</v>
      </c>
      <c r="D6" s="35">
        <v>55000</v>
      </c>
      <c r="E6" s="35">
        <v>60000</v>
      </c>
      <c r="F6" s="35">
        <v>65000</v>
      </c>
      <c r="G6" s="35">
        <v>70000</v>
      </c>
      <c r="H6" s="35">
        <v>75000</v>
      </c>
      <c r="I6" s="35">
        <v>80000</v>
      </c>
      <c r="J6" s="35">
        <v>85000</v>
      </c>
      <c r="K6" s="35">
        <v>90000</v>
      </c>
      <c r="L6" s="35">
        <v>95000</v>
      </c>
    </row>
    <row r="7" spans="1:12" x14ac:dyDescent="0.25">
      <c r="A7" s="32"/>
      <c r="B7" s="34" t="s">
        <v>108</v>
      </c>
      <c r="C7" s="35">
        <v>2000</v>
      </c>
      <c r="D7" s="35">
        <v>2500</v>
      </c>
      <c r="E7" s="35">
        <v>3000</v>
      </c>
      <c r="F7" s="35">
        <v>3500</v>
      </c>
      <c r="G7" s="35">
        <v>4000</v>
      </c>
      <c r="H7" s="35">
        <v>4500</v>
      </c>
      <c r="I7" s="35">
        <v>5000</v>
      </c>
      <c r="J7" s="35">
        <v>5500</v>
      </c>
      <c r="K7" s="35">
        <v>6000</v>
      </c>
      <c r="L7" s="35">
        <v>6500</v>
      </c>
    </row>
    <row r="8" spans="1:12" x14ac:dyDescent="0.25">
      <c r="A8" s="32"/>
      <c r="B8" s="34" t="s">
        <v>109</v>
      </c>
      <c r="C8" s="35">
        <v>52000</v>
      </c>
      <c r="D8" s="35">
        <v>57500</v>
      </c>
      <c r="E8" s="35">
        <v>63000</v>
      </c>
      <c r="F8" s="35">
        <v>685000</v>
      </c>
      <c r="G8" s="35">
        <v>74000</v>
      </c>
      <c r="H8" s="35">
        <v>79500</v>
      </c>
      <c r="I8" s="35">
        <v>85000</v>
      </c>
      <c r="J8" s="35">
        <v>90500</v>
      </c>
      <c r="K8" s="35">
        <v>96000</v>
      </c>
      <c r="L8" s="35">
        <v>101500</v>
      </c>
    </row>
    <row r="9" spans="1:12" x14ac:dyDescent="0.25">
      <c r="A9" s="32"/>
    </row>
    <row r="10" spans="1:12" x14ac:dyDescent="0.25">
      <c r="A10" s="36">
        <v>1</v>
      </c>
      <c r="B10" s="33" t="s">
        <v>110</v>
      </c>
    </row>
    <row r="11" spans="1:12" x14ac:dyDescent="0.25">
      <c r="C11" s="33"/>
      <c r="D11" s="33"/>
    </row>
    <row r="12" spans="1:12" x14ac:dyDescent="0.25">
      <c r="B12" s="32" t="s">
        <v>111</v>
      </c>
      <c r="C12" s="37" t="str">
        <f>HLOOKUP(D3,B3:D8,3,FALSE)</f>
        <v>Marketing</v>
      </c>
    </row>
    <row r="13" spans="1:12" hidden="1" outlineLevel="1" x14ac:dyDescent="0.25">
      <c r="B13" s="33"/>
    </row>
    <row r="14" spans="1:12" hidden="1" outlineLevel="1" x14ac:dyDescent="0.25"/>
    <row r="15" spans="1:12" hidden="1" outlineLevel="1" x14ac:dyDescent="0.25">
      <c r="B15" s="38"/>
    </row>
    <row r="16" spans="1:12" hidden="1" outlineLevel="1" x14ac:dyDescent="0.25">
      <c r="B16" s="38"/>
    </row>
    <row r="17" spans="1:4" hidden="1" outlineLevel="1" x14ac:dyDescent="0.25">
      <c r="B17" s="38"/>
    </row>
    <row r="18" spans="1:4" hidden="1" outlineLevel="1" x14ac:dyDescent="0.25">
      <c r="B18" s="38"/>
    </row>
    <row r="19" spans="1:4" hidden="1" outlineLevel="1" x14ac:dyDescent="0.25">
      <c r="B19" s="38"/>
    </row>
    <row r="20" spans="1:4" collapsed="1" x14ac:dyDescent="0.25"/>
    <row r="21" spans="1:4" x14ac:dyDescent="0.25">
      <c r="A21" s="36">
        <v>2</v>
      </c>
      <c r="B21" s="33" t="s">
        <v>112</v>
      </c>
    </row>
    <row r="22" spans="1:4" x14ac:dyDescent="0.25">
      <c r="C22" s="33"/>
      <c r="D22" s="33"/>
    </row>
    <row r="23" spans="1:4" x14ac:dyDescent="0.25">
      <c r="B23" s="32" t="s">
        <v>111</v>
      </c>
      <c r="C23" s="37">
        <f>HLOOKUP(G3,B3:G8,4,)</f>
        <v>70000</v>
      </c>
    </row>
    <row r="25" spans="1:4" hidden="1" outlineLevel="1" x14ac:dyDescent="0.25">
      <c r="B25" s="33"/>
    </row>
    <row r="26" spans="1:4" hidden="1" outlineLevel="1" x14ac:dyDescent="0.25"/>
    <row r="27" spans="1:4" hidden="1" outlineLevel="1" x14ac:dyDescent="0.25">
      <c r="B27" s="38"/>
    </row>
    <row r="28" spans="1:4" hidden="1" outlineLevel="1" x14ac:dyDescent="0.25">
      <c r="B28" s="38"/>
    </row>
    <row r="29" spans="1:4" hidden="1" outlineLevel="1" x14ac:dyDescent="0.25">
      <c r="B29" s="38"/>
    </row>
    <row r="30" spans="1:4" hidden="1" outlineLevel="1" x14ac:dyDescent="0.25">
      <c r="B30" s="38"/>
    </row>
    <row r="31" spans="1:4" collapsed="1" x14ac:dyDescent="0.25"/>
    <row r="32" spans="1:4" x14ac:dyDescent="0.25">
      <c r="A32" s="36">
        <v>3</v>
      </c>
      <c r="B32" s="33" t="s">
        <v>113</v>
      </c>
      <c r="C32" s="33"/>
      <c r="D32" s="33"/>
    </row>
    <row r="33" spans="2:3" x14ac:dyDescent="0.25">
      <c r="B33" s="36" t="s">
        <v>111</v>
      </c>
      <c r="C33" s="37">
        <f>HLOOKUP(I3,B3:I8,6,)</f>
        <v>85000</v>
      </c>
    </row>
    <row r="35" spans="2:3" hidden="1" outlineLevel="1" x14ac:dyDescent="0.25">
      <c r="B35" s="33" t="s">
        <v>114</v>
      </c>
    </row>
    <row r="36" spans="2:3" hidden="1" outlineLevel="1" x14ac:dyDescent="0.25"/>
    <row r="37" spans="2:3" hidden="1" outlineLevel="1" x14ac:dyDescent="0.25">
      <c r="B37" s="38"/>
    </row>
    <row r="38" spans="2:3" hidden="1" outlineLevel="1" x14ac:dyDescent="0.25">
      <c r="B38" s="38"/>
    </row>
    <row r="39" spans="2:3" hidden="1" outlineLevel="1" x14ac:dyDescent="0.25">
      <c r="B39" s="38"/>
    </row>
    <row r="40" spans="2:3" hidden="1" outlineLevel="1" x14ac:dyDescent="0.25">
      <c r="B40" s="38"/>
    </row>
    <row r="41" spans="2:3" collapsed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E2D7-8183-427C-8B0D-F8D282CF7C8D}">
  <sheetPr codeName="Sheet9"/>
  <dimension ref="A1:E11"/>
  <sheetViews>
    <sheetView workbookViewId="0">
      <selection activeCell="C10" sqref="C10"/>
    </sheetView>
  </sheetViews>
  <sheetFormatPr defaultRowHeight="15" x14ac:dyDescent="0.25"/>
  <cols>
    <col min="1" max="1" width="19.28515625" style="1" customWidth="1"/>
    <col min="2" max="2" width="16.28515625" style="1" bestFit="1" customWidth="1"/>
    <col min="3" max="3" width="13.42578125" style="1" customWidth="1"/>
    <col min="4" max="16384" width="9.140625" style="1"/>
  </cols>
  <sheetData>
    <row r="1" spans="1:5" x14ac:dyDescent="0.25">
      <c r="A1" s="39" t="s">
        <v>115</v>
      </c>
      <c r="B1" s="21"/>
      <c r="C1" s="21"/>
      <c r="D1" s="21"/>
      <c r="E1" s="21"/>
    </row>
    <row r="2" spans="1:5" x14ac:dyDescent="0.25">
      <c r="A2" s="7" t="s">
        <v>116</v>
      </c>
      <c r="B2" s="21"/>
      <c r="C2" s="21"/>
      <c r="D2" s="21"/>
      <c r="E2" s="21"/>
    </row>
    <row r="3" spans="1:5" x14ac:dyDescent="0.25">
      <c r="A3" s="7" t="s">
        <v>117</v>
      </c>
      <c r="B3" s="21"/>
      <c r="C3" s="21"/>
      <c r="D3" s="21"/>
      <c r="E3" s="21"/>
    </row>
    <row r="4" spans="1:5" x14ac:dyDescent="0.25">
      <c r="A4" s="7" t="s">
        <v>118</v>
      </c>
      <c r="B4" s="21"/>
      <c r="C4" s="21"/>
      <c r="D4" s="21"/>
      <c r="E4" s="21"/>
    </row>
    <row r="5" spans="1:5" x14ac:dyDescent="0.25">
      <c r="A5" s="21"/>
      <c r="B5" s="21"/>
      <c r="C5" s="21"/>
      <c r="D5" s="21"/>
      <c r="E5" s="21"/>
    </row>
    <row r="6" spans="1:5" x14ac:dyDescent="0.25">
      <c r="A6" s="40" t="s">
        <v>1</v>
      </c>
      <c r="B6" s="40" t="s">
        <v>119</v>
      </c>
      <c r="C6" s="40" t="s">
        <v>120</v>
      </c>
      <c r="D6" s="21"/>
      <c r="E6" s="21"/>
    </row>
    <row r="7" spans="1:5" x14ac:dyDescent="0.25">
      <c r="A7" s="2" t="s">
        <v>121</v>
      </c>
      <c r="B7" s="2">
        <v>98</v>
      </c>
      <c r="C7" s="41" t="str">
        <f>IF(B7&gt;=60,"Pass","Fail")</f>
        <v>Pass</v>
      </c>
      <c r="D7" s="7"/>
      <c r="E7" s="21"/>
    </row>
    <row r="8" spans="1:5" x14ac:dyDescent="0.25">
      <c r="A8" s="2" t="s">
        <v>122</v>
      </c>
      <c r="B8" s="2">
        <v>55</v>
      </c>
      <c r="C8" s="41" t="str">
        <f>IF(B8&gt;=60,"Pass","Fail")</f>
        <v>Fail</v>
      </c>
      <c r="D8" s="7"/>
      <c r="E8" s="21"/>
    </row>
    <row r="9" spans="1:5" x14ac:dyDescent="0.25">
      <c r="A9" s="2" t="s">
        <v>123</v>
      </c>
      <c r="B9" s="2">
        <v>15</v>
      </c>
      <c r="C9" s="41" t="str">
        <f>IF(B9&gt;=60,"Pass","Fail")</f>
        <v>Fail</v>
      </c>
      <c r="D9" s="7"/>
      <c r="E9" s="21"/>
    </row>
    <row r="10" spans="1:5" x14ac:dyDescent="0.25">
      <c r="A10" s="2" t="s">
        <v>124</v>
      </c>
      <c r="B10" s="2">
        <v>60</v>
      </c>
      <c r="C10" s="41" t="str">
        <f>IF(B10&gt;=60,"Pass","Fail")</f>
        <v>Pass</v>
      </c>
      <c r="D10" s="7"/>
      <c r="E10" s="21"/>
    </row>
    <row r="11" spans="1:5" x14ac:dyDescent="0.25">
      <c r="A11" s="21"/>
      <c r="B11" s="21"/>
      <c r="C11" s="21"/>
      <c r="D11" s="21"/>
      <c r="E11" s="7"/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8437-C970-48F1-B4B5-589D3F046C8B}">
  <sheetPr codeName="Sheet10"/>
  <dimension ref="A1:E10"/>
  <sheetViews>
    <sheetView workbookViewId="0">
      <selection activeCell="D11" sqref="D11"/>
    </sheetView>
  </sheetViews>
  <sheetFormatPr defaultRowHeight="15" x14ac:dyDescent="0.25"/>
  <cols>
    <col min="1" max="1" width="19.28515625" style="1" customWidth="1"/>
    <col min="2" max="2" width="16.28515625" style="1" bestFit="1" customWidth="1"/>
    <col min="3" max="3" width="9.140625" style="1"/>
    <col min="4" max="4" width="12.140625" style="1" bestFit="1" customWidth="1"/>
    <col min="5" max="16384" width="9.140625" style="1"/>
  </cols>
  <sheetData>
    <row r="1" spans="1:5" x14ac:dyDescent="0.25">
      <c r="A1" s="39" t="s">
        <v>125</v>
      </c>
    </row>
    <row r="2" spans="1:5" x14ac:dyDescent="0.25">
      <c r="A2" s="42" t="s">
        <v>126</v>
      </c>
    </row>
    <row r="3" spans="1:5" x14ac:dyDescent="0.25">
      <c r="A3" s="39" t="s">
        <v>127</v>
      </c>
    </row>
    <row r="4" spans="1:5" x14ac:dyDescent="0.25">
      <c r="A4" s="43"/>
    </row>
    <row r="5" spans="1:5" x14ac:dyDescent="0.25">
      <c r="B5" s="7" t="s">
        <v>4</v>
      </c>
      <c r="C5" s="7" t="s">
        <v>5</v>
      </c>
    </row>
    <row r="6" spans="1:5" x14ac:dyDescent="0.25">
      <c r="A6" s="2"/>
      <c r="B6" s="2" t="s">
        <v>128</v>
      </c>
      <c r="C6" s="2" t="s">
        <v>129</v>
      </c>
      <c r="D6" s="40" t="s">
        <v>130</v>
      </c>
    </row>
    <row r="7" spans="1:5" x14ac:dyDescent="0.25">
      <c r="A7" s="2" t="s">
        <v>131</v>
      </c>
      <c r="B7" s="44">
        <v>94</v>
      </c>
      <c r="C7" s="44">
        <v>94</v>
      </c>
      <c r="D7" s="41" t="str">
        <f>IF(B7=C7,"Match", "No Match")</f>
        <v>Match</v>
      </c>
      <c r="E7" s="7"/>
    </row>
    <row r="8" spans="1:5" x14ac:dyDescent="0.25">
      <c r="A8" s="2" t="s">
        <v>132</v>
      </c>
      <c r="B8" s="44">
        <v>109</v>
      </c>
      <c r="C8" s="44">
        <v>109</v>
      </c>
      <c r="D8" s="41" t="str">
        <f>IF(B8=C8,"Match", "No Match")</f>
        <v>Match</v>
      </c>
      <c r="E8" s="7"/>
    </row>
    <row r="9" spans="1:5" x14ac:dyDescent="0.25">
      <c r="A9" s="2" t="s">
        <v>133</v>
      </c>
      <c r="B9" s="44">
        <v>85</v>
      </c>
      <c r="C9" s="44">
        <v>85.5</v>
      </c>
      <c r="D9" s="41" t="str">
        <f>IF(B9=C9,"Match", "No Match")</f>
        <v>No Match</v>
      </c>
      <c r="E9" s="7"/>
    </row>
    <row r="10" spans="1:5" x14ac:dyDescent="0.25">
      <c r="A10" s="2" t="s">
        <v>134</v>
      </c>
      <c r="B10" s="44">
        <v>12</v>
      </c>
      <c r="C10" s="44">
        <v>12</v>
      </c>
      <c r="D10" s="41" t="str">
        <f>IF(B10=C10,"Match", "No Match")</f>
        <v>Match</v>
      </c>
      <c r="E10" s="7"/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F75F-881C-4915-A58C-95A76A07A48B}">
  <sheetPr codeName="Sheet11"/>
  <dimension ref="A1:H30"/>
  <sheetViews>
    <sheetView workbookViewId="0">
      <selection activeCell="E15" sqref="E15"/>
    </sheetView>
  </sheetViews>
  <sheetFormatPr defaultRowHeight="15" x14ac:dyDescent="0.25"/>
  <cols>
    <col min="1" max="1" width="5.140625" style="1" customWidth="1"/>
    <col min="2" max="2" width="27.42578125" style="1" customWidth="1"/>
    <col min="3" max="3" width="17.7109375" style="1" customWidth="1"/>
    <col min="4" max="4" width="9.140625" style="1"/>
    <col min="5" max="5" width="13.5703125" style="1" bestFit="1" customWidth="1"/>
    <col min="6" max="6" width="13.28515625" style="1" bestFit="1" customWidth="1"/>
    <col min="7" max="16384" width="9.140625" style="1"/>
  </cols>
  <sheetData>
    <row r="1" spans="1:8" x14ac:dyDescent="0.25">
      <c r="B1" s="7" t="s">
        <v>151</v>
      </c>
    </row>
    <row r="2" spans="1:8" x14ac:dyDescent="0.25">
      <c r="A2" s="48">
        <v>1</v>
      </c>
      <c r="B2" s="49" t="s">
        <v>150</v>
      </c>
    </row>
    <row r="3" spans="1:8" x14ac:dyDescent="0.25">
      <c r="A3" s="48"/>
      <c r="B3" s="50"/>
    </row>
    <row r="4" spans="1:8" x14ac:dyDescent="0.25">
      <c r="A4" s="48">
        <v>2</v>
      </c>
      <c r="B4" s="49" t="s">
        <v>149</v>
      </c>
    </row>
    <row r="5" spans="1:8" x14ac:dyDescent="0.25">
      <c r="A5" s="48"/>
      <c r="B5" s="7"/>
    </row>
    <row r="6" spans="1:8" x14ac:dyDescent="0.25">
      <c r="A6" s="48"/>
      <c r="B6" s="7"/>
    </row>
    <row r="7" spans="1:8" x14ac:dyDescent="0.25">
      <c r="E7" s="2" t="s">
        <v>148</v>
      </c>
      <c r="F7" s="2" t="s">
        <v>147</v>
      </c>
    </row>
    <row r="8" spans="1:8" x14ac:dyDescent="0.25">
      <c r="B8" s="46" t="s">
        <v>146</v>
      </c>
      <c r="C8" s="46" t="s">
        <v>1</v>
      </c>
      <c r="D8" s="47" t="s">
        <v>145</v>
      </c>
      <c r="E8" s="46" t="s">
        <v>144</v>
      </c>
      <c r="F8" s="46" t="s">
        <v>143</v>
      </c>
      <c r="H8" s="7"/>
    </row>
    <row r="9" spans="1:8" x14ac:dyDescent="0.25">
      <c r="B9" s="2">
        <v>1</v>
      </c>
      <c r="C9" s="2" t="s">
        <v>142</v>
      </c>
      <c r="D9" s="45">
        <v>16</v>
      </c>
      <c r="E9" s="41" t="str">
        <f t="shared" ref="E9:E16" si="0">IF(D9&gt;=16,"Eligible","Not Eligible")</f>
        <v>Eligible</v>
      </c>
      <c r="F9" s="41" t="str">
        <f t="shared" ref="F9:F16" si="1">IF(D9&lt;18, "Minor","Adult")</f>
        <v>Minor</v>
      </c>
      <c r="H9" s="7"/>
    </row>
    <row r="10" spans="1:8" x14ac:dyDescent="0.25">
      <c r="B10" s="2">
        <v>2</v>
      </c>
      <c r="C10" s="2" t="s">
        <v>141</v>
      </c>
      <c r="D10" s="45">
        <v>18</v>
      </c>
      <c r="E10" s="41" t="str">
        <f t="shared" si="0"/>
        <v>Eligible</v>
      </c>
      <c r="F10" s="41" t="str">
        <f t="shared" si="1"/>
        <v>Adult</v>
      </c>
      <c r="H10" s="7"/>
    </row>
    <row r="11" spans="1:8" x14ac:dyDescent="0.25">
      <c r="B11" s="2">
        <v>3</v>
      </c>
      <c r="C11" s="2" t="s">
        <v>140</v>
      </c>
      <c r="D11" s="45">
        <v>15.5</v>
      </c>
      <c r="E11" s="41" t="str">
        <f t="shared" si="0"/>
        <v>Not Eligible</v>
      </c>
      <c r="F11" s="41" t="str">
        <f t="shared" si="1"/>
        <v>Minor</v>
      </c>
      <c r="H11" s="7"/>
    </row>
    <row r="12" spans="1:8" x14ac:dyDescent="0.25">
      <c r="B12" s="2">
        <v>4</v>
      </c>
      <c r="C12" s="2" t="s">
        <v>139</v>
      </c>
      <c r="D12" s="45">
        <v>19</v>
      </c>
      <c r="E12" s="41" t="str">
        <f t="shared" si="0"/>
        <v>Eligible</v>
      </c>
      <c r="F12" s="41" t="str">
        <f t="shared" si="1"/>
        <v>Adult</v>
      </c>
      <c r="H12" s="7"/>
    </row>
    <row r="13" spans="1:8" x14ac:dyDescent="0.25">
      <c r="B13" s="2">
        <v>5</v>
      </c>
      <c r="C13" s="2" t="s">
        <v>138</v>
      </c>
      <c r="D13" s="45">
        <v>18</v>
      </c>
      <c r="E13" s="41" t="str">
        <f t="shared" si="0"/>
        <v>Eligible</v>
      </c>
      <c r="F13" s="41" t="str">
        <f t="shared" si="1"/>
        <v>Adult</v>
      </c>
      <c r="H13" s="7"/>
    </row>
    <row r="14" spans="1:8" x14ac:dyDescent="0.25">
      <c r="B14" s="2">
        <v>6</v>
      </c>
      <c r="C14" s="2" t="s">
        <v>137</v>
      </c>
      <c r="D14" s="45">
        <v>13</v>
      </c>
      <c r="E14" s="41" t="str">
        <f t="shared" si="0"/>
        <v>Not Eligible</v>
      </c>
      <c r="F14" s="41" t="str">
        <f t="shared" si="1"/>
        <v>Minor</v>
      </c>
      <c r="H14" s="7"/>
    </row>
    <row r="15" spans="1:8" x14ac:dyDescent="0.25">
      <c r="B15" s="2">
        <v>7</v>
      </c>
      <c r="C15" s="2" t="s">
        <v>136</v>
      </c>
      <c r="D15" s="45">
        <v>18</v>
      </c>
      <c r="E15" s="41" t="str">
        <f t="shared" si="0"/>
        <v>Eligible</v>
      </c>
      <c r="F15" s="41" t="str">
        <f t="shared" si="1"/>
        <v>Adult</v>
      </c>
      <c r="H15" s="7"/>
    </row>
    <row r="16" spans="1:8" x14ac:dyDescent="0.25">
      <c r="B16" s="2">
        <v>8</v>
      </c>
      <c r="C16" s="2" t="s">
        <v>135</v>
      </c>
      <c r="D16" s="45">
        <v>17</v>
      </c>
      <c r="E16" s="41" t="str">
        <f t="shared" si="0"/>
        <v>Eligible</v>
      </c>
      <c r="F16" s="41" t="str">
        <f t="shared" si="1"/>
        <v>Minor</v>
      </c>
      <c r="H16" s="7"/>
    </row>
    <row r="18" spans="1:8" x14ac:dyDescent="0.25">
      <c r="B18" s="43"/>
      <c r="C18" s="43"/>
      <c r="D18" s="43"/>
    </row>
    <row r="19" spans="1:8" x14ac:dyDescent="0.25">
      <c r="B19" s="43"/>
      <c r="C19" s="43"/>
      <c r="D19" s="43"/>
    </row>
    <row r="20" spans="1:8" x14ac:dyDescent="0.25">
      <c r="A20" s="7"/>
      <c r="B20" s="7"/>
      <c r="C20" s="39"/>
      <c r="D20" s="39"/>
    </row>
    <row r="21" spans="1:8" x14ac:dyDescent="0.25">
      <c r="A21" s="7"/>
      <c r="B21" s="7"/>
      <c r="C21" s="7"/>
      <c r="D21" s="39"/>
    </row>
    <row r="22" spans="1:8" x14ac:dyDescent="0.25">
      <c r="A22" s="7"/>
      <c r="B22" s="7"/>
      <c r="C22" s="7"/>
      <c r="D22" s="39"/>
    </row>
    <row r="23" spans="1:8" x14ac:dyDescent="0.25">
      <c r="B23" s="6"/>
    </row>
    <row r="24" spans="1:8" x14ac:dyDescent="0.25">
      <c r="B24" s="6"/>
    </row>
    <row r="25" spans="1:8" x14ac:dyDescent="0.25">
      <c r="B25" s="43"/>
      <c r="C25" s="43"/>
      <c r="D25" s="43"/>
    </row>
    <row r="26" spans="1:8" x14ac:dyDescent="0.25">
      <c r="B26" s="43"/>
      <c r="C26" s="43"/>
      <c r="D26" s="43"/>
    </row>
    <row r="27" spans="1:8" x14ac:dyDescent="0.25">
      <c r="A27" s="7"/>
      <c r="B27" s="7"/>
      <c r="C27" s="39"/>
      <c r="D27" s="39"/>
      <c r="F27" s="129"/>
      <c r="G27" s="130"/>
      <c r="H27" s="130"/>
    </row>
    <row r="28" spans="1:8" x14ac:dyDescent="0.25">
      <c r="A28" s="7"/>
      <c r="B28" s="7"/>
      <c r="C28" s="7"/>
      <c r="D28" s="39"/>
      <c r="F28" s="130"/>
      <c r="G28" s="130"/>
      <c r="H28" s="130"/>
    </row>
    <row r="29" spans="1:8" x14ac:dyDescent="0.25">
      <c r="A29" s="7"/>
      <c r="B29" s="7"/>
      <c r="C29" s="7"/>
      <c r="D29" s="39"/>
      <c r="F29" s="130"/>
      <c r="G29" s="130"/>
      <c r="H29" s="130"/>
    </row>
    <row r="30" spans="1:8" x14ac:dyDescent="0.25">
      <c r="B30" s="6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B626-0300-4502-89C2-2E403E54B176}">
  <sheetPr codeName="Sheet12"/>
  <dimension ref="A1:D17"/>
  <sheetViews>
    <sheetView workbookViewId="0">
      <selection activeCell="D14" sqref="D14"/>
    </sheetView>
  </sheetViews>
  <sheetFormatPr defaultRowHeight="15" x14ac:dyDescent="0.25"/>
  <cols>
    <col min="1" max="1" width="13.5703125" style="21" customWidth="1"/>
    <col min="2" max="2" width="27.42578125" style="21" customWidth="1"/>
    <col min="3" max="3" width="17.7109375" style="21" customWidth="1"/>
    <col min="4" max="4" width="14" style="21" customWidth="1"/>
    <col min="5" max="16384" width="9.140625" style="21"/>
  </cols>
  <sheetData>
    <row r="1" spans="1:4" x14ac:dyDescent="0.25">
      <c r="A1" s="21" t="s">
        <v>152</v>
      </c>
    </row>
    <row r="3" spans="1:4" x14ac:dyDescent="0.25">
      <c r="B3" s="21" t="s">
        <v>59</v>
      </c>
    </row>
    <row r="4" spans="1:4" x14ac:dyDescent="0.25">
      <c r="A4" s="51" t="s">
        <v>153</v>
      </c>
      <c r="B4" s="52">
        <v>1</v>
      </c>
    </row>
    <row r="5" spans="1:4" x14ac:dyDescent="0.25">
      <c r="A5" s="51" t="s">
        <v>154</v>
      </c>
      <c r="B5" s="52">
        <v>0.5</v>
      </c>
    </row>
    <row r="7" spans="1:4" x14ac:dyDescent="0.25">
      <c r="A7" s="21" t="s">
        <v>155</v>
      </c>
    </row>
    <row r="8" spans="1:4" x14ac:dyDescent="0.25">
      <c r="A8" s="21" t="s">
        <v>156</v>
      </c>
    </row>
    <row r="10" spans="1:4" x14ac:dyDescent="0.25">
      <c r="A10" s="53" t="s">
        <v>1</v>
      </c>
      <c r="B10" s="53" t="s">
        <v>157</v>
      </c>
      <c r="C10" s="53" t="s">
        <v>158</v>
      </c>
      <c r="D10" s="53" t="s">
        <v>159</v>
      </c>
    </row>
    <row r="11" spans="1:4" x14ac:dyDescent="0.25">
      <c r="A11" s="51" t="s">
        <v>160</v>
      </c>
      <c r="B11" s="51" t="s">
        <v>153</v>
      </c>
      <c r="C11" s="54">
        <v>46866</v>
      </c>
      <c r="D11" s="55">
        <f t="shared" ref="D11:D17" si="0">IF(B11="A+",C11,C11/2)</f>
        <v>46866</v>
      </c>
    </row>
    <row r="12" spans="1:4" x14ac:dyDescent="0.25">
      <c r="A12" s="51" t="s">
        <v>161</v>
      </c>
      <c r="B12" s="51" t="s">
        <v>154</v>
      </c>
      <c r="C12" s="54">
        <v>33495</v>
      </c>
      <c r="D12" s="55">
        <f t="shared" si="0"/>
        <v>16747.5</v>
      </c>
    </row>
    <row r="13" spans="1:4" x14ac:dyDescent="0.25">
      <c r="A13" s="51" t="s">
        <v>162</v>
      </c>
      <c r="B13" s="51" t="s">
        <v>154</v>
      </c>
      <c r="C13" s="54">
        <v>35087</v>
      </c>
      <c r="D13" s="55">
        <f t="shared" si="0"/>
        <v>17543.5</v>
      </c>
    </row>
    <row r="14" spans="1:4" x14ac:dyDescent="0.25">
      <c r="A14" s="51" t="s">
        <v>163</v>
      </c>
      <c r="B14" s="51" t="s">
        <v>153</v>
      </c>
      <c r="C14" s="54">
        <v>42603</v>
      </c>
      <c r="D14" s="55">
        <f t="shared" si="0"/>
        <v>42603</v>
      </c>
    </row>
    <row r="15" spans="1:4" x14ac:dyDescent="0.25">
      <c r="A15" s="51" t="s">
        <v>138</v>
      </c>
      <c r="B15" s="51" t="s">
        <v>154</v>
      </c>
      <c r="C15" s="54">
        <v>36971</v>
      </c>
      <c r="D15" s="55">
        <f t="shared" si="0"/>
        <v>18485.5</v>
      </c>
    </row>
    <row r="16" spans="1:4" x14ac:dyDescent="0.25">
      <c r="A16" s="51" t="s">
        <v>164</v>
      </c>
      <c r="B16" s="51" t="s">
        <v>153</v>
      </c>
      <c r="C16" s="54">
        <v>41286</v>
      </c>
      <c r="D16" s="55">
        <f t="shared" si="0"/>
        <v>41286</v>
      </c>
    </row>
    <row r="17" spans="1:4" x14ac:dyDescent="0.25">
      <c r="A17" s="51" t="s">
        <v>165</v>
      </c>
      <c r="B17" s="51" t="s">
        <v>154</v>
      </c>
      <c r="C17" s="54">
        <v>37732</v>
      </c>
      <c r="D17" s="55">
        <f t="shared" si="0"/>
        <v>18866</v>
      </c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14C8-9B6F-4E76-8ADF-9D5207C68B0A}">
  <sheetPr codeName="Sheet18"/>
  <dimension ref="A1:I996"/>
  <sheetViews>
    <sheetView workbookViewId="0">
      <selection activeCell="D24" sqref="D24"/>
    </sheetView>
  </sheetViews>
  <sheetFormatPr defaultColWidth="14.42578125" defaultRowHeight="15" x14ac:dyDescent="0.25"/>
  <cols>
    <col min="1" max="1" width="21" style="7" customWidth="1"/>
    <col min="2" max="3" width="10.42578125" style="7" customWidth="1"/>
    <col min="4" max="4" width="21.140625" style="7" customWidth="1"/>
    <col min="5" max="5" width="11.7109375" style="7" customWidth="1"/>
    <col min="6" max="7" width="8.7109375" style="7" customWidth="1"/>
    <col min="8" max="8" width="15.140625" style="7" customWidth="1"/>
    <col min="9" max="25" width="8.7109375" style="7" customWidth="1"/>
    <col min="26" max="16384" width="14.42578125" style="7"/>
  </cols>
  <sheetData>
    <row r="1" spans="1:8" x14ac:dyDescent="0.25">
      <c r="A1" s="6" t="s">
        <v>195</v>
      </c>
      <c r="H1" s="49"/>
    </row>
    <row r="2" spans="1:8" x14ac:dyDescent="0.25">
      <c r="A2" s="7" t="s">
        <v>196</v>
      </c>
      <c r="H2" s="39"/>
    </row>
    <row r="3" spans="1:8" x14ac:dyDescent="0.25">
      <c r="A3" s="62" t="s">
        <v>197</v>
      </c>
      <c r="B3" s="7" t="s">
        <v>198</v>
      </c>
      <c r="H3" s="39"/>
    </row>
    <row r="4" spans="1:8" x14ac:dyDescent="0.25">
      <c r="A4" s="7" t="s">
        <v>199</v>
      </c>
      <c r="B4" s="7" t="s">
        <v>200</v>
      </c>
      <c r="H4" s="39"/>
    </row>
    <row r="5" spans="1:8" x14ac:dyDescent="0.25">
      <c r="A5" s="62" t="s">
        <v>201</v>
      </c>
      <c r="B5" s="7" t="s">
        <v>202</v>
      </c>
      <c r="H5" s="39"/>
    </row>
    <row r="6" spans="1:8" x14ac:dyDescent="0.25">
      <c r="A6" s="7" t="s">
        <v>203</v>
      </c>
      <c r="B6" s="7" t="s">
        <v>204</v>
      </c>
      <c r="H6" s="63"/>
    </row>
    <row r="7" spans="1:8" x14ac:dyDescent="0.25">
      <c r="A7" s="7" t="s">
        <v>205</v>
      </c>
      <c r="B7" s="7" t="s">
        <v>206</v>
      </c>
      <c r="H7" s="64"/>
    </row>
    <row r="8" spans="1:8" x14ac:dyDescent="0.25">
      <c r="A8" s="7" t="s">
        <v>207</v>
      </c>
      <c r="B8" s="7" t="s">
        <v>208</v>
      </c>
      <c r="H8" s="39"/>
    </row>
    <row r="9" spans="1:8" x14ac:dyDescent="0.25">
      <c r="H9" s="39"/>
    </row>
    <row r="10" spans="1:8" x14ac:dyDescent="0.25">
      <c r="A10" s="43" t="s">
        <v>209</v>
      </c>
      <c r="H10" s="64"/>
    </row>
    <row r="11" spans="1:8" x14ac:dyDescent="0.25">
      <c r="A11" s="7">
        <v>2</v>
      </c>
      <c r="B11" s="7" t="s">
        <v>210</v>
      </c>
      <c r="C11" s="7">
        <v>3</v>
      </c>
      <c r="D11" s="11">
        <f>A11+C11</f>
        <v>5</v>
      </c>
      <c r="H11" s="63"/>
    </row>
    <row r="12" spans="1:8" x14ac:dyDescent="0.25">
      <c r="A12" s="7">
        <v>3</v>
      </c>
      <c r="B12" s="7" t="s">
        <v>211</v>
      </c>
      <c r="C12" s="7">
        <v>1</v>
      </c>
      <c r="D12" s="11">
        <f>A12-C12</f>
        <v>2</v>
      </c>
      <c r="H12" s="39"/>
    </row>
    <row r="13" spans="1:8" x14ac:dyDescent="0.25">
      <c r="A13" s="7">
        <v>5</v>
      </c>
      <c r="B13" s="7" t="s">
        <v>212</v>
      </c>
      <c r="C13" s="7">
        <v>10</v>
      </c>
      <c r="D13" s="11">
        <f>A13*C13</f>
        <v>50</v>
      </c>
      <c r="H13" s="39"/>
    </row>
    <row r="14" spans="1:8" x14ac:dyDescent="0.25">
      <c r="A14" s="7">
        <v>10</v>
      </c>
      <c r="B14" s="7" t="s">
        <v>213</v>
      </c>
      <c r="C14" s="7">
        <v>2</v>
      </c>
      <c r="D14" s="11">
        <f>A14/C14</f>
        <v>5</v>
      </c>
      <c r="H14" s="39"/>
    </row>
    <row r="15" spans="1:8" x14ac:dyDescent="0.25">
      <c r="H15" s="64"/>
    </row>
    <row r="16" spans="1:8" x14ac:dyDescent="0.25">
      <c r="H16" s="63"/>
    </row>
    <row r="17" spans="1:8" ht="15.75" customHeight="1" x14ac:dyDescent="0.25">
      <c r="A17" s="43" t="s">
        <v>214</v>
      </c>
      <c r="H17" s="63"/>
    </row>
    <row r="18" spans="1:8" ht="15.75" customHeight="1" x14ac:dyDescent="0.25">
      <c r="A18" s="6">
        <v>10</v>
      </c>
      <c r="B18" s="7" t="s">
        <v>215</v>
      </c>
      <c r="C18" s="7">
        <v>100</v>
      </c>
      <c r="D18" s="65">
        <f>C18/A18</f>
        <v>10</v>
      </c>
      <c r="H18" s="39"/>
    </row>
    <row r="19" spans="1:8" ht="15.75" customHeight="1" x14ac:dyDescent="0.25">
      <c r="A19" s="6">
        <v>3</v>
      </c>
      <c r="B19" s="7" t="s">
        <v>215</v>
      </c>
      <c r="C19" s="7">
        <v>6</v>
      </c>
      <c r="D19" s="65">
        <f>C19/A19</f>
        <v>2</v>
      </c>
      <c r="H19" s="39"/>
    </row>
    <row r="20" spans="1:8" ht="15.75" customHeight="1" x14ac:dyDescent="0.25">
      <c r="A20" s="6">
        <v>1.5</v>
      </c>
      <c r="B20" s="7" t="s">
        <v>215</v>
      </c>
      <c r="C20" s="7">
        <v>1</v>
      </c>
      <c r="D20" s="65">
        <f>C20/A20</f>
        <v>0.66666666666666663</v>
      </c>
      <c r="H20" s="64"/>
    </row>
    <row r="21" spans="1:8" ht="15.75" customHeight="1" x14ac:dyDescent="0.25">
      <c r="H21" s="39"/>
    </row>
    <row r="22" spans="1:8" ht="15.75" customHeight="1" x14ac:dyDescent="0.25">
      <c r="A22" s="43" t="s">
        <v>216</v>
      </c>
      <c r="H22" s="63"/>
    </row>
    <row r="23" spans="1:8" ht="15.75" customHeight="1" x14ac:dyDescent="0.25">
      <c r="A23" s="6" t="s">
        <v>217</v>
      </c>
      <c r="B23" s="6" t="s">
        <v>218</v>
      </c>
      <c r="C23" s="6" t="s">
        <v>219</v>
      </c>
      <c r="D23" s="6" t="s">
        <v>220</v>
      </c>
      <c r="E23" s="6"/>
      <c r="H23" s="39"/>
    </row>
    <row r="24" spans="1:8" ht="15.75" customHeight="1" x14ac:dyDescent="0.25">
      <c r="A24" s="7" t="s">
        <v>221</v>
      </c>
      <c r="B24" s="7">
        <v>100</v>
      </c>
      <c r="C24" s="7">
        <v>150</v>
      </c>
      <c r="D24" s="65">
        <f>(C24-B24)/B24</f>
        <v>0.5</v>
      </c>
      <c r="E24" s="66"/>
      <c r="H24" s="39"/>
    </row>
    <row r="25" spans="1:8" ht="15.75" customHeight="1" x14ac:dyDescent="0.25">
      <c r="A25" s="7" t="s">
        <v>222</v>
      </c>
      <c r="B25" s="7">
        <v>100</v>
      </c>
      <c r="C25" s="7">
        <v>50</v>
      </c>
      <c r="D25" s="65">
        <f>(C25-B25)/B25</f>
        <v>-0.5</v>
      </c>
      <c r="E25" s="66"/>
      <c r="H25" s="39"/>
    </row>
    <row r="26" spans="1:8" ht="15.75" customHeight="1" x14ac:dyDescent="0.25">
      <c r="H26" s="39"/>
    </row>
    <row r="27" spans="1:8" ht="23.25" x14ac:dyDescent="0.35">
      <c r="A27" s="67" t="s">
        <v>223</v>
      </c>
      <c r="H27" s="39"/>
    </row>
    <row r="28" spans="1:8" ht="15.75" customHeight="1" x14ac:dyDescent="0.25">
      <c r="H28" s="49"/>
    </row>
    <row r="29" spans="1:8" ht="15.75" customHeight="1" x14ac:dyDescent="0.25">
      <c r="H29" s="63"/>
    </row>
    <row r="30" spans="1:8" ht="15.75" customHeight="1" x14ac:dyDescent="0.25">
      <c r="H30" s="39"/>
    </row>
    <row r="31" spans="1:8" ht="15.75" customHeight="1" x14ac:dyDescent="0.25">
      <c r="H31" s="64"/>
    </row>
    <row r="32" spans="1:8" ht="15.75" customHeight="1" x14ac:dyDescent="0.25">
      <c r="H32" s="39"/>
    </row>
    <row r="33" spans="8:8" ht="15.75" customHeight="1" x14ac:dyDescent="0.25">
      <c r="H33" s="39"/>
    </row>
    <row r="34" spans="8:8" ht="15.75" customHeight="1" x14ac:dyDescent="0.25"/>
    <row r="35" spans="8:8" ht="15.75" customHeight="1" x14ac:dyDescent="0.25">
      <c r="H35" s="63"/>
    </row>
    <row r="36" spans="8:8" ht="15.75" customHeight="1" x14ac:dyDescent="0.25">
      <c r="H36" s="39"/>
    </row>
    <row r="37" spans="8:8" ht="15.75" customHeight="1" x14ac:dyDescent="0.25">
      <c r="H37" s="39"/>
    </row>
    <row r="38" spans="8:8" ht="15.75" customHeight="1" x14ac:dyDescent="0.25">
      <c r="H38" s="39"/>
    </row>
    <row r="39" spans="8:8" ht="15.75" customHeight="1" x14ac:dyDescent="0.25">
      <c r="H39" s="68"/>
    </row>
    <row r="40" spans="8:8" ht="15.75" customHeight="1" x14ac:dyDescent="0.25"/>
    <row r="41" spans="8:8" ht="15.75" customHeight="1" x14ac:dyDescent="0.25">
      <c r="H41" s="63"/>
    </row>
    <row r="42" spans="8:8" ht="15.75" customHeight="1" x14ac:dyDescent="0.25">
      <c r="H42" s="49"/>
    </row>
    <row r="43" spans="8:8" ht="15.75" customHeight="1" x14ac:dyDescent="0.25">
      <c r="H43" s="39"/>
    </row>
    <row r="44" spans="8:8" ht="15.75" customHeight="1" x14ac:dyDescent="0.25">
      <c r="H44" s="64"/>
    </row>
    <row r="45" spans="8:8" ht="15.75" customHeight="1" x14ac:dyDescent="0.25">
      <c r="H45" s="39"/>
    </row>
    <row r="46" spans="8:8" ht="15.75" customHeight="1" x14ac:dyDescent="0.25">
      <c r="H46" s="39"/>
    </row>
    <row r="47" spans="8:8" ht="15.75" customHeight="1" x14ac:dyDescent="0.25">
      <c r="H47" s="49"/>
    </row>
    <row r="48" spans="8:8" ht="15.75" customHeight="1" x14ac:dyDescent="0.25">
      <c r="H48" s="39"/>
    </row>
    <row r="49" spans="8:9" ht="15.75" customHeight="1" x14ac:dyDescent="0.25">
      <c r="H49" s="39"/>
    </row>
    <row r="50" spans="8:9" ht="15.75" customHeight="1" x14ac:dyDescent="0.25">
      <c r="H50" s="39"/>
    </row>
    <row r="51" spans="8:9" ht="15.75" customHeight="1" x14ac:dyDescent="0.25">
      <c r="H51" s="68"/>
    </row>
    <row r="52" spans="8:9" ht="15.75" customHeight="1" x14ac:dyDescent="0.25"/>
    <row r="53" spans="8:9" ht="15.75" customHeight="1" x14ac:dyDescent="0.25">
      <c r="H53" s="63"/>
    </row>
    <row r="54" spans="8:9" ht="15.75" customHeight="1" x14ac:dyDescent="0.25">
      <c r="H54" s="49"/>
    </row>
    <row r="55" spans="8:9" ht="15.75" customHeight="1" x14ac:dyDescent="0.25">
      <c r="H55" s="39"/>
    </row>
    <row r="56" spans="8:9" ht="15.75" customHeight="1" x14ac:dyDescent="0.25">
      <c r="H56" s="64"/>
    </row>
    <row r="57" spans="8:9" ht="15.75" customHeight="1" x14ac:dyDescent="0.25">
      <c r="H57" s="49"/>
    </row>
    <row r="58" spans="8:9" ht="15.75" customHeight="1" x14ac:dyDescent="0.25">
      <c r="H58" s="68"/>
    </row>
    <row r="59" spans="8:9" ht="15.75" customHeight="1" x14ac:dyDescent="0.25"/>
    <row r="60" spans="8:9" ht="15.75" customHeight="1" x14ac:dyDescent="0.25"/>
    <row r="61" spans="8:9" ht="15.75" customHeight="1" x14ac:dyDescent="0.25">
      <c r="H61" s="43"/>
    </row>
    <row r="62" spans="8:9" ht="15.75" customHeight="1" x14ac:dyDescent="0.25"/>
    <row r="63" spans="8:9" ht="15.75" customHeight="1" x14ac:dyDescent="0.25">
      <c r="H63" s="6"/>
    </row>
    <row r="64" spans="8:9" ht="15.75" customHeight="1" x14ac:dyDescent="0.25">
      <c r="H64" s="69"/>
      <c r="I64" s="131"/>
    </row>
    <row r="65" spans="8:9" ht="15.75" customHeight="1" x14ac:dyDescent="0.25">
      <c r="I65" s="132"/>
    </row>
    <row r="66" spans="8:9" ht="15.75" customHeight="1" x14ac:dyDescent="0.25"/>
    <row r="67" spans="8:9" ht="15.75" customHeight="1" x14ac:dyDescent="0.25"/>
    <row r="68" spans="8:9" ht="15.75" customHeight="1" x14ac:dyDescent="0.25"/>
    <row r="69" spans="8:9" ht="15.75" customHeight="1" x14ac:dyDescent="0.25"/>
    <row r="70" spans="8:9" ht="15.75" customHeight="1" x14ac:dyDescent="0.25">
      <c r="H70" s="62"/>
    </row>
    <row r="71" spans="8:9" ht="15.75" customHeight="1" x14ac:dyDescent="0.25"/>
    <row r="72" spans="8:9" ht="15.75" customHeight="1" x14ac:dyDescent="0.25">
      <c r="H72" s="6"/>
    </row>
    <row r="73" spans="8:9" ht="15.75" customHeight="1" x14ac:dyDescent="0.25"/>
    <row r="74" spans="8:9" ht="15.75" customHeight="1" x14ac:dyDescent="0.25">
      <c r="H74" s="69"/>
      <c r="I74" s="69"/>
    </row>
    <row r="75" spans="8:9" ht="15.75" customHeight="1" x14ac:dyDescent="0.25">
      <c r="H75" s="133"/>
      <c r="I75" s="132"/>
    </row>
    <row r="76" spans="8:9" ht="15.75" customHeight="1" x14ac:dyDescent="0.25"/>
    <row r="77" spans="8:9" ht="15.75" customHeight="1" x14ac:dyDescent="0.25">
      <c r="H77" s="62"/>
    </row>
    <row r="78" spans="8:9" ht="15.75" customHeight="1" x14ac:dyDescent="0.25"/>
    <row r="79" spans="8:9" ht="15.75" customHeight="1" x14ac:dyDescent="0.25"/>
    <row r="80" spans="8:9" ht="15.75" customHeight="1" x14ac:dyDescent="0.25"/>
    <row r="81" spans="8:8" ht="15.75" customHeight="1" x14ac:dyDescent="0.25"/>
    <row r="82" spans="8:8" ht="15.75" customHeight="1" x14ac:dyDescent="0.25"/>
    <row r="83" spans="8:8" ht="15.75" customHeight="1" x14ac:dyDescent="0.25"/>
    <row r="84" spans="8:8" ht="15.75" customHeight="1" x14ac:dyDescent="0.25"/>
    <row r="85" spans="8:8" ht="15.75" customHeight="1" x14ac:dyDescent="0.25"/>
    <row r="86" spans="8:8" ht="15.75" customHeight="1" x14ac:dyDescent="0.25">
      <c r="H86" s="39"/>
    </row>
    <row r="87" spans="8:8" ht="15.75" customHeight="1" x14ac:dyDescent="0.25"/>
    <row r="88" spans="8:8" ht="15.75" customHeight="1" x14ac:dyDescent="0.25"/>
    <row r="89" spans="8:8" ht="15.75" customHeight="1" x14ac:dyDescent="0.25"/>
    <row r="90" spans="8:8" ht="15.75" customHeight="1" x14ac:dyDescent="0.25"/>
    <row r="91" spans="8:8" ht="15.75" customHeight="1" x14ac:dyDescent="0.25"/>
    <row r="92" spans="8:8" ht="15.75" customHeight="1" x14ac:dyDescent="0.25"/>
    <row r="93" spans="8:8" ht="15.75" customHeight="1" x14ac:dyDescent="0.25"/>
    <row r="94" spans="8:8" ht="15.75" customHeight="1" x14ac:dyDescent="0.25">
      <c r="H94" s="39"/>
    </row>
    <row r="95" spans="8:8" ht="15.75" customHeight="1" x14ac:dyDescent="0.25">
      <c r="H95" s="39"/>
    </row>
    <row r="96" spans="8:8" ht="15.75" customHeight="1" x14ac:dyDescent="0.25">
      <c r="H96" s="39"/>
    </row>
    <row r="97" spans="8:8" ht="15.75" customHeight="1" x14ac:dyDescent="0.25">
      <c r="H97" s="39"/>
    </row>
    <row r="98" spans="8:8" ht="15.75" customHeight="1" x14ac:dyDescent="0.25">
      <c r="H98" s="39"/>
    </row>
    <row r="99" spans="8:8" ht="15.75" customHeight="1" x14ac:dyDescent="0.25"/>
    <row r="100" spans="8:8" ht="15.75" customHeight="1" x14ac:dyDescent="0.25"/>
    <row r="101" spans="8:8" ht="15.75" customHeight="1" x14ac:dyDescent="0.25"/>
    <row r="102" spans="8:8" ht="15.75" customHeight="1" x14ac:dyDescent="0.25"/>
    <row r="103" spans="8:8" ht="15.75" customHeight="1" x14ac:dyDescent="0.25"/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AC693203-F64C-4551-863B-20780C0933B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8009-567B-473F-983F-8B633DA38665}">
  <sheetPr codeName="Sheet15"/>
  <dimension ref="A1:D29"/>
  <sheetViews>
    <sheetView workbookViewId="0">
      <selection activeCell="B16" sqref="B16"/>
    </sheetView>
  </sheetViews>
  <sheetFormatPr defaultRowHeight="15" x14ac:dyDescent="0.25"/>
  <cols>
    <col min="1" max="1" width="8.140625" style="56" customWidth="1"/>
    <col min="2" max="2" width="69.140625" style="1" customWidth="1"/>
    <col min="3" max="16384" width="9.140625" style="1"/>
  </cols>
  <sheetData>
    <row r="1" spans="1:4" x14ac:dyDescent="0.25">
      <c r="B1" s="7" t="s">
        <v>166</v>
      </c>
    </row>
    <row r="2" spans="1:4" x14ac:dyDescent="0.25">
      <c r="A2" s="57"/>
      <c r="B2" s="58" t="s">
        <v>167</v>
      </c>
      <c r="C2" s="59"/>
    </row>
    <row r="3" spans="1:4" x14ac:dyDescent="0.25">
      <c r="A3" s="60">
        <v>1</v>
      </c>
      <c r="B3" s="7" t="s">
        <v>168</v>
      </c>
    </row>
    <row r="4" spans="1:4" x14ac:dyDescent="0.25">
      <c r="A4" s="61"/>
      <c r="B4" s="40" t="s">
        <v>1</v>
      </c>
      <c r="C4" s="40" t="s">
        <v>2</v>
      </c>
    </row>
    <row r="5" spans="1:4" x14ac:dyDescent="0.25">
      <c r="A5" s="60"/>
      <c r="B5" s="2" t="s">
        <v>169</v>
      </c>
      <c r="C5" s="2">
        <v>200</v>
      </c>
    </row>
    <row r="6" spans="1:4" x14ac:dyDescent="0.25">
      <c r="A6" s="60"/>
      <c r="B6" s="2" t="s">
        <v>170</v>
      </c>
      <c r="C6" s="2">
        <v>120</v>
      </c>
    </row>
    <row r="7" spans="1:4" x14ac:dyDescent="0.25">
      <c r="A7" s="60"/>
      <c r="B7" s="2" t="s">
        <v>171</v>
      </c>
      <c r="C7" s="2">
        <v>156</v>
      </c>
    </row>
    <row r="8" spans="1:4" x14ac:dyDescent="0.25">
      <c r="A8" s="60"/>
      <c r="B8" s="2" t="s">
        <v>172</v>
      </c>
      <c r="C8" s="2">
        <v>190</v>
      </c>
    </row>
    <row r="9" spans="1:4" x14ac:dyDescent="0.25">
      <c r="A9" s="60"/>
      <c r="B9" s="2" t="s">
        <v>173</v>
      </c>
      <c r="C9" s="2">
        <v>320</v>
      </c>
    </row>
    <row r="10" spans="1:4" x14ac:dyDescent="0.25">
      <c r="A10" s="60"/>
      <c r="B10" s="2" t="s">
        <v>174</v>
      </c>
      <c r="C10" s="2">
        <v>89</v>
      </c>
    </row>
    <row r="11" spans="1:4" ht="15.75" thickBot="1" x14ac:dyDescent="0.3"/>
    <row r="12" spans="1:4" ht="15.75" thickBot="1" x14ac:dyDescent="0.3">
      <c r="A12" s="60">
        <v>1.1000000000000001</v>
      </c>
      <c r="B12" s="7" t="s">
        <v>175</v>
      </c>
      <c r="C12" s="8">
        <f>MAX(C5:C10)</f>
        <v>320</v>
      </c>
      <c r="D12" s="7"/>
    </row>
    <row r="13" spans="1:4" ht="15.75" thickBot="1" x14ac:dyDescent="0.3">
      <c r="A13" s="60">
        <v>1.2</v>
      </c>
      <c r="B13" s="7" t="s">
        <v>176</v>
      </c>
      <c r="C13" s="8">
        <f>MIN(C4:C10)</f>
        <v>89</v>
      </c>
      <c r="D13" s="7"/>
    </row>
    <row r="14" spans="1:4" ht="15.75" thickBot="1" x14ac:dyDescent="0.3">
      <c r="A14" s="60">
        <v>1.3</v>
      </c>
      <c r="B14" s="7" t="s">
        <v>177</v>
      </c>
      <c r="C14" s="8">
        <f>AVERAGE(C4:C10)</f>
        <v>179.16666666666666</v>
      </c>
      <c r="D14" s="7"/>
    </row>
    <row r="16" spans="1:4" x14ac:dyDescent="0.25">
      <c r="B16" s="7"/>
    </row>
    <row r="17" spans="1:2" x14ac:dyDescent="0.25">
      <c r="A17" s="60"/>
      <c r="B17" s="7"/>
    </row>
    <row r="18" spans="1:2" x14ac:dyDescent="0.25">
      <c r="A18" s="60"/>
      <c r="B18" s="6"/>
    </row>
    <row r="19" spans="1:2" x14ac:dyDescent="0.25">
      <c r="A19" s="60"/>
      <c r="B19" s="7"/>
    </row>
    <row r="20" spans="1:2" x14ac:dyDescent="0.25">
      <c r="B20" s="7"/>
    </row>
    <row r="21" spans="1:2" x14ac:dyDescent="0.25">
      <c r="A21" s="60"/>
      <c r="B21" s="7"/>
    </row>
    <row r="22" spans="1:2" x14ac:dyDescent="0.25">
      <c r="A22" s="60"/>
      <c r="B22" s="7"/>
    </row>
    <row r="23" spans="1:2" x14ac:dyDescent="0.25">
      <c r="A23" s="60"/>
      <c r="B23" s="7"/>
    </row>
    <row r="24" spans="1:2" x14ac:dyDescent="0.25">
      <c r="A24" s="60"/>
      <c r="B24" s="62"/>
    </row>
    <row r="25" spans="1:2" x14ac:dyDescent="0.25">
      <c r="A25" s="60"/>
      <c r="B25" s="7"/>
    </row>
    <row r="26" spans="1:2" x14ac:dyDescent="0.25">
      <c r="A26" s="60"/>
      <c r="B26" s="62"/>
    </row>
    <row r="27" spans="1:2" x14ac:dyDescent="0.25">
      <c r="A27" s="60"/>
      <c r="B27" s="7"/>
    </row>
    <row r="28" spans="1:2" x14ac:dyDescent="0.25">
      <c r="A28" s="60"/>
      <c r="B28" s="62"/>
    </row>
    <row r="29" spans="1:2" x14ac:dyDescent="0.25">
      <c r="A29" s="60"/>
      <c r="B29" s="7"/>
    </row>
  </sheetData>
  <sheetProtection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1AB5-B230-4D18-A4D4-8FF1CF6DEFD2}">
  <sheetPr codeName="Sheet16"/>
  <dimension ref="A1:I29"/>
  <sheetViews>
    <sheetView workbookViewId="0">
      <selection activeCell="G8" sqref="G8"/>
    </sheetView>
  </sheetViews>
  <sheetFormatPr defaultRowHeight="15" x14ac:dyDescent="0.25"/>
  <cols>
    <col min="1" max="1" width="4" style="1" bestFit="1" customWidth="1"/>
    <col min="2" max="2" width="16.28515625" style="1" bestFit="1" customWidth="1"/>
    <col min="3" max="16384" width="9.140625" style="1"/>
  </cols>
  <sheetData>
    <row r="1" spans="1:9" x14ac:dyDescent="0.25">
      <c r="A1" s="7"/>
      <c r="B1" s="7" t="s">
        <v>178</v>
      </c>
    </row>
    <row r="3" spans="1:9" x14ac:dyDescent="0.25">
      <c r="A3" s="7"/>
      <c r="B3" s="7" t="s">
        <v>179</v>
      </c>
    </row>
    <row r="4" spans="1:9" x14ac:dyDescent="0.25">
      <c r="A4" s="7"/>
      <c r="B4" s="7" t="s">
        <v>180</v>
      </c>
    </row>
    <row r="5" spans="1:9" x14ac:dyDescent="0.25">
      <c r="A5" s="7"/>
      <c r="B5" s="7" t="s">
        <v>181</v>
      </c>
    </row>
    <row r="6" spans="1:9" x14ac:dyDescent="0.25">
      <c r="A6" s="7"/>
      <c r="B6" s="7"/>
    </row>
    <row r="7" spans="1:9" x14ac:dyDescent="0.25">
      <c r="C7" s="7" t="s">
        <v>182</v>
      </c>
      <c r="D7" s="7" t="s">
        <v>183</v>
      </c>
      <c r="E7" s="7" t="s">
        <v>184</v>
      </c>
      <c r="F7" s="7" t="s">
        <v>185</v>
      </c>
    </row>
    <row r="8" spans="1:9" x14ac:dyDescent="0.25">
      <c r="A8" s="7"/>
      <c r="B8" s="7" t="s">
        <v>186</v>
      </c>
      <c r="C8" s="7">
        <v>95</v>
      </c>
      <c r="D8" s="7">
        <v>56</v>
      </c>
      <c r="E8" s="7">
        <v>14</v>
      </c>
      <c r="F8" s="7">
        <v>66</v>
      </c>
      <c r="G8" s="11" t="str">
        <f>IF(MIN(C8:F8)&lt;50,"Fail","Pass")</f>
        <v>Fail</v>
      </c>
      <c r="I8" s="7"/>
    </row>
    <row r="9" spans="1:9" x14ac:dyDescent="0.25">
      <c r="A9" s="7"/>
      <c r="B9" s="7" t="s">
        <v>187</v>
      </c>
      <c r="C9" s="7">
        <v>54</v>
      </c>
      <c r="D9" s="7">
        <v>89</v>
      </c>
      <c r="E9" s="7">
        <v>53</v>
      </c>
      <c r="F9" s="7">
        <v>66</v>
      </c>
      <c r="G9" s="11" t="str">
        <f>IF(MIN(C9:F9)&lt;50,"Fail","Pass")</f>
        <v>Pass</v>
      </c>
      <c r="I9" s="7"/>
    </row>
    <row r="10" spans="1:9" x14ac:dyDescent="0.25">
      <c r="A10" s="7"/>
      <c r="B10" s="7" t="s">
        <v>188</v>
      </c>
      <c r="C10" s="7">
        <v>100</v>
      </c>
      <c r="D10" s="7">
        <v>69</v>
      </c>
      <c r="E10" s="7">
        <v>78</v>
      </c>
      <c r="F10" s="7">
        <v>53</v>
      </c>
      <c r="G10" s="11" t="str">
        <f>IF(MIN(C10:F10)&lt;50,"Fail","Pass")</f>
        <v>Pass</v>
      </c>
      <c r="I10" s="7"/>
    </row>
    <row r="11" spans="1:9" x14ac:dyDescent="0.25">
      <c r="A11" s="7"/>
      <c r="B11" s="7" t="s">
        <v>124</v>
      </c>
      <c r="C11" s="7">
        <v>49</v>
      </c>
      <c r="D11" s="7">
        <v>70</v>
      </c>
      <c r="E11" s="7">
        <v>87</v>
      </c>
      <c r="F11" s="7">
        <v>100</v>
      </c>
      <c r="G11" s="11" t="str">
        <f>IF(MIN(C11:F11)&lt;50,"Fail","Pass")</f>
        <v>Fail</v>
      </c>
      <c r="I11" s="7"/>
    </row>
    <row r="13" spans="1:9" x14ac:dyDescent="0.25">
      <c r="A13" s="7"/>
      <c r="B13" s="39"/>
    </row>
    <row r="14" spans="1:9" x14ac:dyDescent="0.25">
      <c r="A14" s="7"/>
      <c r="B14" s="39"/>
    </row>
    <row r="15" spans="1:9" x14ac:dyDescent="0.25">
      <c r="A15" s="7"/>
      <c r="B15" s="39"/>
    </row>
    <row r="16" spans="1:9" x14ac:dyDescent="0.25">
      <c r="A16" s="7"/>
      <c r="B16" s="39"/>
    </row>
    <row r="17" spans="1:6" x14ac:dyDescent="0.25">
      <c r="A17" s="7"/>
      <c r="B17" s="39"/>
    </row>
    <row r="18" spans="1:6" x14ac:dyDescent="0.25">
      <c r="A18" s="7"/>
      <c r="B18" s="39"/>
    </row>
    <row r="19" spans="1:6" x14ac:dyDescent="0.25">
      <c r="A19" s="7"/>
      <c r="B19" s="39"/>
    </row>
    <row r="20" spans="1:6" x14ac:dyDescent="0.25">
      <c r="A20" s="7"/>
      <c r="B20" s="39"/>
    </row>
    <row r="21" spans="1:6" x14ac:dyDescent="0.25">
      <c r="A21" s="7"/>
    </row>
    <row r="22" spans="1:6" x14ac:dyDescent="0.25">
      <c r="A22" s="7"/>
      <c r="B22" s="49"/>
    </row>
    <row r="23" spans="1:6" x14ac:dyDescent="0.25">
      <c r="B23" s="49"/>
    </row>
    <row r="24" spans="1:6" x14ac:dyDescent="0.25">
      <c r="B24" s="6"/>
    </row>
    <row r="25" spans="1:6" x14ac:dyDescent="0.25">
      <c r="A25" s="7"/>
      <c r="B25" s="39"/>
    </row>
    <row r="26" spans="1:6" x14ac:dyDescent="0.25">
      <c r="B26" s="49"/>
    </row>
    <row r="27" spans="1:6" x14ac:dyDescent="0.25">
      <c r="A27" s="7"/>
      <c r="B27" s="39"/>
      <c r="F27" s="39"/>
    </row>
    <row r="28" spans="1:6" x14ac:dyDescent="0.25">
      <c r="A28" s="7"/>
      <c r="B28" s="39"/>
      <c r="F28" s="39"/>
    </row>
    <row r="29" spans="1:6" x14ac:dyDescent="0.25">
      <c r="A29" s="7"/>
      <c r="B29" s="39"/>
      <c r="F29" s="39"/>
    </row>
  </sheetData>
  <sheetProtection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1174-08C5-468A-98BD-FA3E4749EF5C}">
  <sheetPr codeName="Sheet17"/>
  <dimension ref="A1:E20"/>
  <sheetViews>
    <sheetView topLeftCell="B1" workbookViewId="0">
      <selection activeCell="C12" sqref="C12"/>
    </sheetView>
  </sheetViews>
  <sheetFormatPr defaultRowHeight="15" x14ac:dyDescent="0.25"/>
  <cols>
    <col min="1" max="1" width="5.140625" style="1" customWidth="1"/>
    <col min="2" max="2" width="27.42578125" style="1" customWidth="1"/>
    <col min="3" max="3" width="17.7109375" style="1" customWidth="1"/>
    <col min="4" max="16384" width="9.140625" style="1"/>
  </cols>
  <sheetData>
    <row r="1" spans="1:5" x14ac:dyDescent="0.25">
      <c r="A1" s="7"/>
      <c r="B1" s="7" t="s">
        <v>189</v>
      </c>
    </row>
    <row r="2" spans="1:5" x14ac:dyDescent="0.25">
      <c r="A2" s="7"/>
      <c r="B2" s="39" t="s">
        <v>190</v>
      </c>
    </row>
    <row r="4" spans="1:5" x14ac:dyDescent="0.25">
      <c r="C4" s="7" t="s">
        <v>182</v>
      </c>
    </row>
    <row r="5" spans="1:5" x14ac:dyDescent="0.25">
      <c r="A5" s="7"/>
      <c r="B5" s="7" t="s">
        <v>191</v>
      </c>
      <c r="C5" s="7">
        <v>95</v>
      </c>
    </row>
    <row r="6" spans="1:5" x14ac:dyDescent="0.25">
      <c r="A6" s="7"/>
      <c r="B6" s="7" t="s">
        <v>187</v>
      </c>
      <c r="C6" s="7">
        <v>54</v>
      </c>
    </row>
    <row r="7" spans="1:5" x14ac:dyDescent="0.25">
      <c r="A7" s="7"/>
      <c r="B7" s="7" t="s">
        <v>188</v>
      </c>
      <c r="C7" s="7">
        <v>100</v>
      </c>
    </row>
    <row r="8" spans="1:5" x14ac:dyDescent="0.25">
      <c r="A8" s="7"/>
      <c r="B8" s="7" t="s">
        <v>124</v>
      </c>
      <c r="C8" s="7">
        <v>49</v>
      </c>
    </row>
    <row r="9" spans="1:5" x14ac:dyDescent="0.25">
      <c r="A9" s="7"/>
      <c r="B9" s="7" t="s">
        <v>192</v>
      </c>
      <c r="C9" s="7">
        <v>67</v>
      </c>
    </row>
    <row r="10" spans="1:5" x14ac:dyDescent="0.25">
      <c r="A10" s="7"/>
      <c r="B10" s="7" t="s">
        <v>193</v>
      </c>
      <c r="C10" s="7">
        <v>45</v>
      </c>
    </row>
    <row r="11" spans="1:5" x14ac:dyDescent="0.25">
      <c r="A11" s="7"/>
      <c r="B11" s="7" t="s">
        <v>194</v>
      </c>
      <c r="C11" s="7">
        <v>77</v>
      </c>
    </row>
    <row r="12" spans="1:5" x14ac:dyDescent="0.25">
      <c r="C12" s="11" t="str">
        <f>IF(MAX(C5:C11)&gt;=99,"Easy","Not Easy")</f>
        <v>Easy</v>
      </c>
      <c r="E12" s="7"/>
    </row>
    <row r="15" spans="1:5" x14ac:dyDescent="0.25">
      <c r="B15" s="49"/>
    </row>
    <row r="16" spans="1:5" x14ac:dyDescent="0.25">
      <c r="A16" s="7"/>
      <c r="B16" s="39"/>
      <c r="D16" s="7"/>
    </row>
    <row r="17" spans="1:2" x14ac:dyDescent="0.25">
      <c r="B17" s="49"/>
    </row>
    <row r="18" spans="1:2" x14ac:dyDescent="0.25">
      <c r="A18" s="7"/>
      <c r="B18" s="39"/>
    </row>
    <row r="19" spans="1:2" x14ac:dyDescent="0.25">
      <c r="A19" s="7"/>
      <c r="B19" s="39"/>
    </row>
    <row r="20" spans="1:2" x14ac:dyDescent="0.25">
      <c r="A20" s="7"/>
      <c r="B20" s="39"/>
    </row>
  </sheetData>
  <sheetProtection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4DD8-FC14-4A8E-B76C-CBACD7AC950D}">
  <sheetPr codeName="Sheet19"/>
  <dimension ref="A1:C12"/>
  <sheetViews>
    <sheetView topLeftCell="A4" workbookViewId="0">
      <selection activeCell="G23" sqref="G23"/>
    </sheetView>
  </sheetViews>
  <sheetFormatPr defaultRowHeight="15" x14ac:dyDescent="0.25"/>
  <cols>
    <col min="1" max="1" width="19.28515625" style="1" customWidth="1"/>
    <col min="2" max="2" width="16.28515625" style="1" bestFit="1" customWidth="1"/>
    <col min="3" max="3" width="21.5703125" style="1" bestFit="1" customWidth="1"/>
    <col min="4" max="16384" width="9.140625" style="1"/>
  </cols>
  <sheetData>
    <row r="1" spans="1:3" x14ac:dyDescent="0.25">
      <c r="A1" s="1" t="s">
        <v>224</v>
      </c>
    </row>
    <row r="2" spans="1:3" x14ac:dyDescent="0.25">
      <c r="A2" s="1" t="s">
        <v>225</v>
      </c>
    </row>
    <row r="3" spans="1:3" x14ac:dyDescent="0.25">
      <c r="A3" s="1" t="s">
        <v>226</v>
      </c>
    </row>
    <row r="4" spans="1:3" x14ac:dyDescent="0.25">
      <c r="A4" s="1" t="s">
        <v>227</v>
      </c>
    </row>
    <row r="6" spans="1:3" x14ac:dyDescent="0.25">
      <c r="A6" s="1" t="s">
        <v>228</v>
      </c>
    </row>
    <row r="8" spans="1:3" x14ac:dyDescent="0.25">
      <c r="A8" s="70" t="s">
        <v>229</v>
      </c>
      <c r="B8" s="70" t="s">
        <v>119</v>
      </c>
      <c r="C8" s="70" t="s">
        <v>230</v>
      </c>
    </row>
    <row r="9" spans="1:3" x14ac:dyDescent="0.25">
      <c r="A9" s="71" t="s">
        <v>231</v>
      </c>
      <c r="B9" s="71">
        <v>78</v>
      </c>
      <c r="C9" s="72" t="str">
        <f>IF(B9&gt;=80, "Excellent", IF(B9&gt;=60, "Good", "Failed"))</f>
        <v>Good</v>
      </c>
    </row>
    <row r="10" spans="1:3" x14ac:dyDescent="0.25">
      <c r="A10" s="71" t="s">
        <v>232</v>
      </c>
      <c r="B10" s="71">
        <v>85</v>
      </c>
      <c r="C10" s="72" t="str">
        <f>IF(B10&gt;=80, "Excellent", IF(B10&gt;=60, "Good", "Failed"))</f>
        <v>Excellent</v>
      </c>
    </row>
    <row r="11" spans="1:3" x14ac:dyDescent="0.25">
      <c r="A11" s="71" t="s">
        <v>233</v>
      </c>
      <c r="B11" s="71">
        <v>44</v>
      </c>
      <c r="C11" s="72" t="str">
        <f>IF(B11&gt;=80, "Excellent", IF(B11&gt;=60, "Good", "Failed"))</f>
        <v>Failed</v>
      </c>
    </row>
    <row r="12" spans="1:3" x14ac:dyDescent="0.25">
      <c r="A12" s="71" t="s">
        <v>234</v>
      </c>
      <c r="B12" s="71">
        <v>61</v>
      </c>
      <c r="C12" s="72" t="str">
        <f>IF(B12&gt;=80, "Excellent", IF(B12&gt;=60, "Good", "Failed"))</f>
        <v>Good</v>
      </c>
    </row>
  </sheetData>
  <sheetProtection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84B2-3B9E-49D0-B4AD-FF6B6117C473}">
  <sheetPr codeName="Sheet21"/>
  <dimension ref="A1:D18"/>
  <sheetViews>
    <sheetView workbookViewId="0">
      <selection activeCell="B18" sqref="B18"/>
    </sheetView>
  </sheetViews>
  <sheetFormatPr defaultRowHeight="15" x14ac:dyDescent="0.25"/>
  <cols>
    <col min="1" max="1" width="19.28515625" style="1" customWidth="1"/>
    <col min="2" max="2" width="16.28515625" style="1" bestFit="1" customWidth="1"/>
    <col min="3" max="16384" width="9.140625" style="1"/>
  </cols>
  <sheetData>
    <row r="1" spans="1:2" x14ac:dyDescent="0.25">
      <c r="A1" s="7" t="s">
        <v>251</v>
      </c>
    </row>
    <row r="2" spans="1:2" x14ac:dyDescent="0.25">
      <c r="A2" s="7" t="s">
        <v>252</v>
      </c>
    </row>
    <row r="4" spans="1:2" x14ac:dyDescent="0.25">
      <c r="A4" s="43"/>
    </row>
    <row r="5" spans="1:2" x14ac:dyDescent="0.25">
      <c r="A5" s="43" t="s">
        <v>23</v>
      </c>
      <c r="B5" s="43" t="s">
        <v>253</v>
      </c>
    </row>
    <row r="6" spans="1:2" x14ac:dyDescent="0.25">
      <c r="A6" s="7" t="s">
        <v>254</v>
      </c>
      <c r="B6" s="73">
        <v>759</v>
      </c>
    </row>
    <row r="7" spans="1:2" x14ac:dyDescent="0.25">
      <c r="A7" s="7" t="s">
        <v>255</v>
      </c>
      <c r="B7" s="73">
        <v>200</v>
      </c>
    </row>
    <row r="8" spans="1:2" x14ac:dyDescent="0.25">
      <c r="A8" s="7" t="s">
        <v>256</v>
      </c>
      <c r="B8" s="73">
        <v>42</v>
      </c>
    </row>
    <row r="9" spans="1:2" x14ac:dyDescent="0.25">
      <c r="A9" s="7" t="s">
        <v>257</v>
      </c>
      <c r="B9" s="73">
        <v>423</v>
      </c>
    </row>
    <row r="10" spans="1:2" x14ac:dyDescent="0.25">
      <c r="A10" s="7" t="s">
        <v>258</v>
      </c>
      <c r="B10" s="73">
        <v>200</v>
      </c>
    </row>
    <row r="11" spans="1:2" x14ac:dyDescent="0.25">
      <c r="A11" s="7" t="s">
        <v>259</v>
      </c>
      <c r="B11" s="73">
        <v>50</v>
      </c>
    </row>
    <row r="12" spans="1:2" x14ac:dyDescent="0.25">
      <c r="A12" s="7" t="s">
        <v>260</v>
      </c>
      <c r="B12" s="73">
        <v>700</v>
      </c>
    </row>
    <row r="13" spans="1:2" x14ac:dyDescent="0.25">
      <c r="A13" s="7" t="s">
        <v>261</v>
      </c>
      <c r="B13" s="73">
        <v>450</v>
      </c>
    </row>
    <row r="14" spans="1:2" x14ac:dyDescent="0.25">
      <c r="A14" s="7" t="s">
        <v>262</v>
      </c>
      <c r="B14" s="73">
        <v>605</v>
      </c>
    </row>
    <row r="15" spans="1:2" x14ac:dyDescent="0.25">
      <c r="A15" s="7" t="s">
        <v>263</v>
      </c>
      <c r="B15" s="73">
        <v>240</v>
      </c>
    </row>
    <row r="16" spans="1:2" x14ac:dyDescent="0.25">
      <c r="A16" s="7" t="s">
        <v>264</v>
      </c>
      <c r="B16" s="73">
        <v>685</v>
      </c>
    </row>
    <row r="17" spans="1:4" ht="15.75" thickBot="1" x14ac:dyDescent="0.3">
      <c r="A17" s="7" t="s">
        <v>265</v>
      </c>
      <c r="B17" s="73">
        <v>295</v>
      </c>
    </row>
    <row r="18" spans="1:4" ht="15.75" thickBot="1" x14ac:dyDescent="0.3">
      <c r="A18" s="7" t="s">
        <v>266</v>
      </c>
      <c r="B18" s="74">
        <f>SUM(B6:B17)</f>
        <v>4649</v>
      </c>
      <c r="C18" s="6" t="s">
        <v>267</v>
      </c>
      <c r="D18" s="6"/>
    </row>
  </sheetData>
  <sheetProtection sheet="1" objects="1" scenarios="1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4656-1D43-48C6-BB34-66BBAFEC090C}">
  <sheetPr codeName="Sheet22"/>
  <dimension ref="A1:C95"/>
  <sheetViews>
    <sheetView workbookViewId="0">
      <selection activeCell="B1" sqref="B1"/>
    </sheetView>
  </sheetViews>
  <sheetFormatPr defaultRowHeight="15" x14ac:dyDescent="0.25"/>
  <cols>
    <col min="1" max="1" width="19.28515625" style="1" customWidth="1"/>
    <col min="2" max="2" width="16.28515625" style="1" bestFit="1" customWidth="1"/>
    <col min="3" max="16384" width="9.140625" style="1"/>
  </cols>
  <sheetData>
    <row r="1" spans="1:2" x14ac:dyDescent="0.25">
      <c r="A1" s="7" t="s">
        <v>268</v>
      </c>
    </row>
    <row r="2" spans="1:2" x14ac:dyDescent="0.25">
      <c r="A2" s="7" t="s">
        <v>269</v>
      </c>
    </row>
    <row r="4" spans="1:2" x14ac:dyDescent="0.25">
      <c r="A4" s="75" t="s">
        <v>237</v>
      </c>
      <c r="B4" s="76" t="s">
        <v>270</v>
      </c>
    </row>
    <row r="5" spans="1:2" x14ac:dyDescent="0.25">
      <c r="A5" s="77">
        <v>42005</v>
      </c>
      <c r="B5" s="78">
        <v>432.17</v>
      </c>
    </row>
    <row r="6" spans="1:2" x14ac:dyDescent="0.25">
      <c r="A6" s="77">
        <v>42351</v>
      </c>
      <c r="B6" s="78">
        <v>528.5</v>
      </c>
    </row>
    <row r="7" spans="1:2" x14ac:dyDescent="0.25">
      <c r="A7" s="77">
        <v>42007</v>
      </c>
      <c r="B7" s="78">
        <v>810.71</v>
      </c>
    </row>
    <row r="8" spans="1:2" x14ac:dyDescent="0.25">
      <c r="A8" s="77">
        <v>42008</v>
      </c>
      <c r="B8" s="78">
        <v>418.54</v>
      </c>
    </row>
    <row r="9" spans="1:2" x14ac:dyDescent="0.25">
      <c r="A9" s="77">
        <v>42009</v>
      </c>
      <c r="B9" s="78">
        <v>722.22</v>
      </c>
    </row>
    <row r="10" spans="1:2" x14ac:dyDescent="0.25">
      <c r="A10" s="77">
        <v>42010</v>
      </c>
      <c r="B10" s="78">
        <v>460.28</v>
      </c>
    </row>
    <row r="11" spans="1:2" x14ac:dyDescent="0.25">
      <c r="A11" s="77">
        <v>42349</v>
      </c>
      <c r="B11" s="78">
        <v>483.58</v>
      </c>
    </row>
    <row r="12" spans="1:2" x14ac:dyDescent="0.25">
      <c r="A12" s="77">
        <v>42012</v>
      </c>
      <c r="B12" s="78">
        <v>114.53</v>
      </c>
    </row>
    <row r="13" spans="1:2" x14ac:dyDescent="0.25">
      <c r="A13" s="77">
        <v>42013</v>
      </c>
      <c r="B13" s="78">
        <v>609.12</v>
      </c>
    </row>
    <row r="14" spans="1:2" x14ac:dyDescent="0.25">
      <c r="A14" s="77">
        <v>42014</v>
      </c>
      <c r="B14" s="78">
        <v>1197.9000000000001</v>
      </c>
    </row>
    <row r="15" spans="1:2" x14ac:dyDescent="0.25">
      <c r="A15" s="77">
        <v>42015</v>
      </c>
      <c r="B15" s="78">
        <v>228.89</v>
      </c>
    </row>
    <row r="16" spans="1:2" x14ac:dyDescent="0.25">
      <c r="A16" s="77">
        <v>42016</v>
      </c>
      <c r="B16" s="78">
        <v>1380.07</v>
      </c>
    </row>
    <row r="17" spans="1:2" x14ac:dyDescent="0.25">
      <c r="A17" s="77">
        <v>42017</v>
      </c>
      <c r="B17" s="78">
        <v>1026.96</v>
      </c>
    </row>
    <row r="18" spans="1:2" x14ac:dyDescent="0.25">
      <c r="A18" s="77">
        <v>42018</v>
      </c>
      <c r="B18" s="78">
        <v>760.24</v>
      </c>
    </row>
    <row r="19" spans="1:2" x14ac:dyDescent="0.25">
      <c r="A19" s="77">
        <v>42019</v>
      </c>
      <c r="B19" s="78">
        <v>414.11</v>
      </c>
    </row>
    <row r="20" spans="1:2" x14ac:dyDescent="0.25">
      <c r="A20" s="77">
        <v>42020</v>
      </c>
      <c r="B20" s="78">
        <v>1728.81</v>
      </c>
    </row>
    <row r="21" spans="1:2" x14ac:dyDescent="0.25">
      <c r="A21" s="77">
        <v>42021</v>
      </c>
      <c r="B21" s="78">
        <v>276.06</v>
      </c>
    </row>
    <row r="22" spans="1:2" x14ac:dyDescent="0.25">
      <c r="A22" s="77">
        <v>42022</v>
      </c>
      <c r="B22" s="78">
        <v>462.22</v>
      </c>
    </row>
    <row r="23" spans="1:2" x14ac:dyDescent="0.25">
      <c r="A23" s="77">
        <v>42023</v>
      </c>
      <c r="B23" s="78">
        <v>1281.0999999999999</v>
      </c>
    </row>
    <row r="24" spans="1:2" x14ac:dyDescent="0.25">
      <c r="A24" s="77">
        <v>42024</v>
      </c>
      <c r="B24" s="78">
        <v>1113.7</v>
      </c>
    </row>
    <row r="25" spans="1:2" x14ac:dyDescent="0.25">
      <c r="A25" s="77">
        <v>42025</v>
      </c>
      <c r="B25" s="78">
        <v>594.09</v>
      </c>
    </row>
    <row r="26" spans="1:2" x14ac:dyDescent="0.25">
      <c r="A26" s="77">
        <v>42026</v>
      </c>
      <c r="B26" s="78">
        <v>432.67</v>
      </c>
    </row>
    <row r="27" spans="1:2" x14ac:dyDescent="0.25">
      <c r="A27" s="77">
        <v>42027</v>
      </c>
      <c r="B27" s="78">
        <v>874.45</v>
      </c>
    </row>
    <row r="28" spans="1:2" x14ac:dyDescent="0.25">
      <c r="A28" s="77">
        <v>42028</v>
      </c>
      <c r="B28" s="78">
        <v>880.38</v>
      </c>
    </row>
    <row r="29" spans="1:2" x14ac:dyDescent="0.25">
      <c r="A29" s="77">
        <v>42029</v>
      </c>
      <c r="B29" s="78">
        <v>798.53</v>
      </c>
    </row>
    <row r="30" spans="1:2" x14ac:dyDescent="0.25">
      <c r="A30" s="77">
        <v>42318</v>
      </c>
      <c r="B30" s="78">
        <v>572.41999999999996</v>
      </c>
    </row>
    <row r="31" spans="1:2" x14ac:dyDescent="0.25">
      <c r="A31" s="77">
        <v>42031</v>
      </c>
      <c r="B31" s="78">
        <v>330.61</v>
      </c>
    </row>
    <row r="32" spans="1:2" x14ac:dyDescent="0.25">
      <c r="A32" s="77">
        <v>42032</v>
      </c>
      <c r="B32" s="78">
        <v>567.17999999999995</v>
      </c>
    </row>
    <row r="33" spans="1:2" x14ac:dyDescent="0.25">
      <c r="A33" s="77">
        <v>42033</v>
      </c>
      <c r="B33" s="78">
        <v>1449.21</v>
      </c>
    </row>
    <row r="34" spans="1:2" x14ac:dyDescent="0.25">
      <c r="A34" s="77">
        <v>42034</v>
      </c>
      <c r="B34" s="78">
        <v>459.29</v>
      </c>
    </row>
    <row r="35" spans="1:2" x14ac:dyDescent="0.25">
      <c r="A35" s="77">
        <v>42035</v>
      </c>
      <c r="B35" s="78">
        <v>357.55</v>
      </c>
    </row>
    <row r="36" spans="1:2" x14ac:dyDescent="0.25">
      <c r="A36" s="77">
        <v>42036</v>
      </c>
      <c r="B36" s="78">
        <v>154.34</v>
      </c>
    </row>
    <row r="37" spans="1:2" x14ac:dyDescent="0.25">
      <c r="A37" s="77">
        <v>42037</v>
      </c>
      <c r="B37" s="78">
        <v>152.76</v>
      </c>
    </row>
    <row r="38" spans="1:2" x14ac:dyDescent="0.25">
      <c r="A38" s="77">
        <v>42038</v>
      </c>
      <c r="B38" s="78">
        <v>570.22</v>
      </c>
    </row>
    <row r="39" spans="1:2" x14ac:dyDescent="0.25">
      <c r="A39" s="77">
        <v>42039</v>
      </c>
      <c r="B39" s="78">
        <v>987.62</v>
      </c>
    </row>
    <row r="40" spans="1:2" x14ac:dyDescent="0.25">
      <c r="A40" s="77">
        <v>42040</v>
      </c>
      <c r="B40" s="78">
        <v>1755.71</v>
      </c>
    </row>
    <row r="41" spans="1:2" x14ac:dyDescent="0.25">
      <c r="A41" s="77">
        <v>42041</v>
      </c>
      <c r="B41" s="78">
        <v>378.27</v>
      </c>
    </row>
    <row r="42" spans="1:2" x14ac:dyDescent="0.25">
      <c r="A42" s="77">
        <v>42042</v>
      </c>
      <c r="B42" s="78">
        <v>1323.81</v>
      </c>
    </row>
    <row r="43" spans="1:2" x14ac:dyDescent="0.25">
      <c r="A43" s="77">
        <v>42043</v>
      </c>
      <c r="B43" s="78">
        <v>399.02</v>
      </c>
    </row>
    <row r="44" spans="1:2" x14ac:dyDescent="0.25">
      <c r="A44" s="77">
        <v>42044</v>
      </c>
      <c r="B44" s="78">
        <v>154.94999999999999</v>
      </c>
    </row>
    <row r="45" spans="1:2" x14ac:dyDescent="0.25">
      <c r="A45" s="77">
        <v>42045</v>
      </c>
      <c r="B45" s="78">
        <v>1254.57</v>
      </c>
    </row>
    <row r="46" spans="1:2" x14ac:dyDescent="0.25">
      <c r="A46" s="77">
        <v>42046</v>
      </c>
      <c r="B46" s="78">
        <v>627.32000000000005</v>
      </c>
    </row>
    <row r="47" spans="1:2" x14ac:dyDescent="0.25">
      <c r="A47" s="77">
        <v>42230</v>
      </c>
      <c r="B47" s="78">
        <v>880.6</v>
      </c>
    </row>
    <row r="48" spans="1:2" x14ac:dyDescent="0.25">
      <c r="A48" s="77">
        <v>42048</v>
      </c>
      <c r="B48" s="78">
        <v>1196.03</v>
      </c>
    </row>
    <row r="49" spans="1:2" x14ac:dyDescent="0.25">
      <c r="A49" s="77">
        <v>42049</v>
      </c>
      <c r="B49" s="78">
        <v>782.32</v>
      </c>
    </row>
    <row r="50" spans="1:2" x14ac:dyDescent="0.25">
      <c r="A50" s="77">
        <v>42050</v>
      </c>
      <c r="B50" s="78">
        <v>1323.35</v>
      </c>
    </row>
    <row r="51" spans="1:2" x14ac:dyDescent="0.25">
      <c r="A51" s="77">
        <v>42051</v>
      </c>
      <c r="B51" s="78">
        <v>209.92</v>
      </c>
    </row>
    <row r="52" spans="1:2" x14ac:dyDescent="0.25">
      <c r="A52" s="77">
        <v>42052</v>
      </c>
      <c r="B52" s="78">
        <v>1232.05</v>
      </c>
    </row>
    <row r="53" spans="1:2" x14ac:dyDescent="0.25">
      <c r="A53" s="77">
        <v>42053</v>
      </c>
      <c r="B53" s="78">
        <v>713.28</v>
      </c>
    </row>
    <row r="54" spans="1:2" x14ac:dyDescent="0.25">
      <c r="A54" s="77">
        <v>42054</v>
      </c>
      <c r="B54" s="78">
        <v>1674.82</v>
      </c>
    </row>
    <row r="55" spans="1:2" x14ac:dyDescent="0.25">
      <c r="A55" s="77">
        <v>42055</v>
      </c>
      <c r="B55" s="78">
        <v>1161.25</v>
      </c>
    </row>
    <row r="56" spans="1:2" x14ac:dyDescent="0.25">
      <c r="A56" s="77">
        <v>42056</v>
      </c>
      <c r="B56" s="78">
        <v>897.63</v>
      </c>
    </row>
    <row r="57" spans="1:2" x14ac:dyDescent="0.25">
      <c r="A57" s="77">
        <v>42057</v>
      </c>
      <c r="B57" s="78">
        <v>1647.26</v>
      </c>
    </row>
    <row r="58" spans="1:2" x14ac:dyDescent="0.25">
      <c r="A58" s="77">
        <v>42058</v>
      </c>
      <c r="B58" s="78">
        <v>1121.96</v>
      </c>
    </row>
    <row r="59" spans="1:2" x14ac:dyDescent="0.25">
      <c r="A59" s="77">
        <v>42059</v>
      </c>
      <c r="B59" s="78">
        <v>352.2</v>
      </c>
    </row>
    <row r="60" spans="1:2" x14ac:dyDescent="0.25">
      <c r="A60" s="77">
        <v>42060</v>
      </c>
      <c r="B60" s="78">
        <v>270.77999999999997</v>
      </c>
    </row>
    <row r="61" spans="1:2" x14ac:dyDescent="0.25">
      <c r="A61" s="77">
        <v>42061</v>
      </c>
      <c r="B61" s="78">
        <v>456.41</v>
      </c>
    </row>
    <row r="62" spans="1:2" x14ac:dyDescent="0.25">
      <c r="A62" s="77">
        <v>42062</v>
      </c>
      <c r="B62" s="78">
        <v>441</v>
      </c>
    </row>
    <row r="63" spans="1:2" x14ac:dyDescent="0.25">
      <c r="A63" s="77">
        <v>42063</v>
      </c>
      <c r="B63" s="78">
        <v>252.44</v>
      </c>
    </row>
    <row r="64" spans="1:2" x14ac:dyDescent="0.25">
      <c r="A64" s="77">
        <v>42064</v>
      </c>
      <c r="B64" s="78">
        <v>1298.92</v>
      </c>
    </row>
    <row r="65" spans="1:2" x14ac:dyDescent="0.25">
      <c r="A65" s="77">
        <v>42065</v>
      </c>
      <c r="B65" s="78">
        <v>1178.07</v>
      </c>
    </row>
    <row r="66" spans="1:2" x14ac:dyDescent="0.25">
      <c r="A66" s="77">
        <v>42066</v>
      </c>
      <c r="B66" s="78">
        <v>459.95</v>
      </c>
    </row>
    <row r="67" spans="1:2" x14ac:dyDescent="0.25">
      <c r="A67" s="77">
        <v>42067</v>
      </c>
      <c r="B67" s="78">
        <v>1219.7</v>
      </c>
    </row>
    <row r="68" spans="1:2" x14ac:dyDescent="0.25">
      <c r="A68" s="77">
        <v>42068</v>
      </c>
      <c r="B68" s="78">
        <v>152.24</v>
      </c>
    </row>
    <row r="69" spans="1:2" x14ac:dyDescent="0.25">
      <c r="A69" s="77">
        <v>42069</v>
      </c>
      <c r="B69" s="78">
        <v>770.8</v>
      </c>
    </row>
    <row r="70" spans="1:2" x14ac:dyDescent="0.25">
      <c r="A70" s="77">
        <v>42070</v>
      </c>
      <c r="B70" s="78">
        <v>1357.25</v>
      </c>
    </row>
    <row r="71" spans="1:2" x14ac:dyDescent="0.25">
      <c r="A71" s="77">
        <v>42187</v>
      </c>
      <c r="B71" s="78">
        <v>220.18</v>
      </c>
    </row>
    <row r="72" spans="1:2" x14ac:dyDescent="0.25">
      <c r="A72" s="77">
        <v>42072</v>
      </c>
      <c r="B72" s="78">
        <v>1102.81</v>
      </c>
    </row>
    <row r="73" spans="1:2" x14ac:dyDescent="0.25">
      <c r="A73" s="77">
        <v>42073</v>
      </c>
      <c r="B73" s="78">
        <v>1566.83</v>
      </c>
    </row>
    <row r="74" spans="1:2" x14ac:dyDescent="0.25">
      <c r="A74" s="77">
        <v>42074</v>
      </c>
      <c r="B74" s="78">
        <v>437.92</v>
      </c>
    </row>
    <row r="75" spans="1:2" x14ac:dyDescent="0.25">
      <c r="A75" s="77">
        <v>42075</v>
      </c>
      <c r="B75" s="78">
        <v>1216.1199999999999</v>
      </c>
    </row>
    <row r="76" spans="1:2" x14ac:dyDescent="0.25">
      <c r="A76" s="77">
        <v>42076</v>
      </c>
      <c r="B76" s="78">
        <v>273.10000000000002</v>
      </c>
    </row>
    <row r="77" spans="1:2" x14ac:dyDescent="0.25">
      <c r="A77" s="77">
        <v>42077</v>
      </c>
      <c r="B77" s="78">
        <v>242.26</v>
      </c>
    </row>
    <row r="78" spans="1:2" x14ac:dyDescent="0.25">
      <c r="A78" s="77">
        <v>42078</v>
      </c>
      <c r="B78" s="78">
        <v>1512.6</v>
      </c>
    </row>
    <row r="79" spans="1:2" x14ac:dyDescent="0.25">
      <c r="A79" s="77">
        <v>42079</v>
      </c>
      <c r="B79" s="78">
        <v>783.75</v>
      </c>
    </row>
    <row r="80" spans="1:2" x14ac:dyDescent="0.25">
      <c r="A80" s="77">
        <v>42189</v>
      </c>
      <c r="B80" s="78">
        <v>667.99</v>
      </c>
    </row>
    <row r="81" spans="1:3" x14ac:dyDescent="0.25">
      <c r="A81" s="77">
        <v>42081</v>
      </c>
      <c r="B81" s="78">
        <v>1166.31</v>
      </c>
    </row>
    <row r="82" spans="1:3" x14ac:dyDescent="0.25">
      <c r="A82" s="77">
        <v>42082</v>
      </c>
      <c r="B82" s="78">
        <v>770.18</v>
      </c>
    </row>
    <row r="83" spans="1:3" x14ac:dyDescent="0.25">
      <c r="A83" s="77">
        <v>42083</v>
      </c>
      <c r="B83" s="78">
        <v>132.34</v>
      </c>
    </row>
    <row r="84" spans="1:3" x14ac:dyDescent="0.25">
      <c r="A84" s="77">
        <v>42084</v>
      </c>
      <c r="B84" s="78">
        <v>1188.81</v>
      </c>
    </row>
    <row r="85" spans="1:3" x14ac:dyDescent="0.25">
      <c r="A85" s="77">
        <v>42085</v>
      </c>
      <c r="B85" s="78">
        <v>198.06</v>
      </c>
    </row>
    <row r="86" spans="1:3" x14ac:dyDescent="0.25">
      <c r="A86" s="77">
        <v>42086</v>
      </c>
      <c r="B86" s="78">
        <v>594.16999999999996</v>
      </c>
    </row>
    <row r="87" spans="1:3" x14ac:dyDescent="0.25">
      <c r="A87" s="77">
        <v>42087</v>
      </c>
      <c r="B87" s="78">
        <v>931.09</v>
      </c>
    </row>
    <row r="88" spans="1:3" x14ac:dyDescent="0.25">
      <c r="A88" s="77">
        <v>42088</v>
      </c>
      <c r="B88" s="78">
        <v>299.64</v>
      </c>
    </row>
    <row r="89" spans="1:3" x14ac:dyDescent="0.25">
      <c r="A89" s="77">
        <v>42223</v>
      </c>
      <c r="B89" s="78">
        <v>1701.68</v>
      </c>
    </row>
    <row r="90" spans="1:3" x14ac:dyDescent="0.25">
      <c r="A90" s="77">
        <v>42090</v>
      </c>
      <c r="B90" s="78">
        <v>399.15</v>
      </c>
    </row>
    <row r="91" spans="1:3" x14ac:dyDescent="0.25">
      <c r="A91" s="77">
        <v>42091</v>
      </c>
      <c r="B91" s="78">
        <v>374.81</v>
      </c>
    </row>
    <row r="92" spans="1:3" x14ac:dyDescent="0.25">
      <c r="A92" s="77">
        <v>42092</v>
      </c>
      <c r="B92" s="78">
        <v>462.17</v>
      </c>
    </row>
    <row r="93" spans="1:3" x14ac:dyDescent="0.25">
      <c r="A93" s="77">
        <v>42093</v>
      </c>
      <c r="B93" s="78">
        <v>924.29</v>
      </c>
    </row>
    <row r="94" spans="1:3" x14ac:dyDescent="0.25">
      <c r="A94" s="77">
        <v>42094</v>
      </c>
      <c r="B94" s="78">
        <v>5000.6000000000004</v>
      </c>
    </row>
    <row r="95" spans="1:3" x14ac:dyDescent="0.25">
      <c r="A95" s="79"/>
      <c r="B95" s="80">
        <f>SUM(B5:B94)</f>
        <v>72741.76999999996</v>
      </c>
      <c r="C95" s="6" t="s">
        <v>267</v>
      </c>
    </row>
  </sheetData>
  <sheetProtection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8A08-8A02-414D-9988-E4F80E86BE3E}">
  <sheetPr codeName="Sheet23"/>
  <dimension ref="A1:F182"/>
  <sheetViews>
    <sheetView zoomScale="113" workbookViewId="0">
      <selection activeCell="E50" sqref="E50"/>
    </sheetView>
  </sheetViews>
  <sheetFormatPr defaultRowHeight="15" x14ac:dyDescent="0.25"/>
  <cols>
    <col min="1" max="1" width="5.140625" style="1" customWidth="1"/>
    <col min="2" max="2" width="27.42578125" style="1" customWidth="1"/>
    <col min="3" max="3" width="17.7109375" style="1" customWidth="1"/>
    <col min="4" max="16384" width="9.140625" style="1"/>
  </cols>
  <sheetData>
    <row r="1" spans="1:6" x14ac:dyDescent="0.25">
      <c r="A1" s="6">
        <v>1</v>
      </c>
      <c r="B1" s="7" t="s">
        <v>271</v>
      </c>
    </row>
    <row r="3" spans="1:6" x14ac:dyDescent="0.25">
      <c r="B3" s="6" t="s">
        <v>272</v>
      </c>
      <c r="C3" s="81" t="s">
        <v>273</v>
      </c>
      <c r="E3" s="43"/>
    </row>
    <row r="4" spans="1:6" x14ac:dyDescent="0.25">
      <c r="B4" s="7" t="s">
        <v>274</v>
      </c>
      <c r="C4" s="80">
        <f>SUM(D25:D182)</f>
        <v>99498</v>
      </c>
      <c r="D4" s="7"/>
      <c r="E4" s="7"/>
    </row>
    <row r="6" spans="1:6" x14ac:dyDescent="0.25">
      <c r="B6" s="6" t="s">
        <v>272</v>
      </c>
      <c r="C6" s="81" t="s">
        <v>275</v>
      </c>
    </row>
    <row r="7" spans="1:6" x14ac:dyDescent="0.25">
      <c r="B7" s="7" t="s">
        <v>274</v>
      </c>
      <c r="C7" s="80">
        <f>SUM(E25:E182)</f>
        <v>211409</v>
      </c>
      <c r="D7" s="7"/>
    </row>
    <row r="9" spans="1:6" x14ac:dyDescent="0.25">
      <c r="B9" s="6" t="s">
        <v>272</v>
      </c>
      <c r="C9" s="81" t="s">
        <v>276</v>
      </c>
    </row>
    <row r="10" spans="1:6" x14ac:dyDescent="0.25">
      <c r="B10" s="7" t="s">
        <v>274</v>
      </c>
      <c r="C10" s="80">
        <f>SUM(F25:F182)</f>
        <v>127820</v>
      </c>
      <c r="D10" s="7"/>
    </row>
    <row r="12" spans="1:6" x14ac:dyDescent="0.25">
      <c r="A12" s="6">
        <v>2</v>
      </c>
      <c r="B12" s="82" t="s">
        <v>277</v>
      </c>
      <c r="C12" s="83"/>
      <c r="D12" s="83"/>
      <c r="E12" s="83"/>
    </row>
    <row r="13" spans="1:6" x14ac:dyDescent="0.25">
      <c r="C13" s="84">
        <f>SUM(D25:F182)</f>
        <v>438727</v>
      </c>
      <c r="D13" s="7"/>
      <c r="E13" s="7"/>
      <c r="F13" s="7"/>
    </row>
    <row r="15" spans="1:6" x14ac:dyDescent="0.25">
      <c r="A15" s="6">
        <v>3</v>
      </c>
      <c r="B15" s="82" t="s">
        <v>278</v>
      </c>
      <c r="C15" s="83"/>
      <c r="D15" s="83"/>
      <c r="E15" s="83"/>
      <c r="F15" s="83"/>
    </row>
    <row r="16" spans="1:6" x14ac:dyDescent="0.25">
      <c r="C16" s="84">
        <f>SUM(D25:F44)</f>
        <v>89884</v>
      </c>
      <c r="D16" s="7"/>
      <c r="E16" s="85"/>
      <c r="F16" s="7"/>
    </row>
    <row r="17" spans="1:6" x14ac:dyDescent="0.25">
      <c r="E17" s="85"/>
      <c r="F17" s="7"/>
    </row>
    <row r="18" spans="1:6" x14ac:dyDescent="0.25">
      <c r="A18" s="6">
        <v>4</v>
      </c>
      <c r="B18" s="82" t="s">
        <v>279</v>
      </c>
      <c r="C18" s="83"/>
      <c r="D18" s="83"/>
      <c r="E18" s="83"/>
      <c r="F18" s="83"/>
    </row>
    <row r="19" spans="1:6" x14ac:dyDescent="0.25">
      <c r="B19" s="7" t="s">
        <v>280</v>
      </c>
      <c r="C19" s="86">
        <f>SUM(D25:D182)</f>
        <v>99498</v>
      </c>
      <c r="D19" s="7"/>
      <c r="F19" s="6"/>
    </row>
    <row r="20" spans="1:6" x14ac:dyDescent="0.25">
      <c r="B20" s="7" t="s">
        <v>281</v>
      </c>
      <c r="C20" s="87">
        <f>SUM(F25:F182)</f>
        <v>127820</v>
      </c>
      <c r="D20" s="7"/>
      <c r="F20" s="7"/>
    </row>
    <row r="21" spans="1:6" x14ac:dyDescent="0.25">
      <c r="B21" s="7"/>
      <c r="F21" s="7"/>
    </row>
    <row r="22" spans="1:6" x14ac:dyDescent="0.25">
      <c r="F22" s="7"/>
    </row>
    <row r="23" spans="1:6" x14ac:dyDescent="0.25">
      <c r="D23" s="134" t="s">
        <v>272</v>
      </c>
      <c r="E23" s="135"/>
      <c r="F23" s="136"/>
    </row>
    <row r="24" spans="1:6" x14ac:dyDescent="0.25">
      <c r="B24" s="88" t="s">
        <v>282</v>
      </c>
      <c r="C24" s="89" t="s">
        <v>236</v>
      </c>
      <c r="D24" s="81" t="s">
        <v>273</v>
      </c>
      <c r="E24" s="81" t="s">
        <v>275</v>
      </c>
      <c r="F24" s="81" t="s">
        <v>276</v>
      </c>
    </row>
    <row r="25" spans="1:6" x14ac:dyDescent="0.25">
      <c r="B25" s="90" t="s">
        <v>241</v>
      </c>
      <c r="C25" s="90" t="s">
        <v>283</v>
      </c>
      <c r="D25" s="91">
        <v>3419</v>
      </c>
      <c r="E25" s="91">
        <v>4378</v>
      </c>
      <c r="F25" s="92">
        <v>2755</v>
      </c>
    </row>
    <row r="26" spans="1:6" x14ac:dyDescent="0.25">
      <c r="B26" s="90" t="s">
        <v>241</v>
      </c>
      <c r="C26" s="90" t="s">
        <v>284</v>
      </c>
      <c r="D26" s="91">
        <v>1492</v>
      </c>
      <c r="E26" s="91">
        <v>2126</v>
      </c>
      <c r="F26" s="92">
        <v>2103</v>
      </c>
    </row>
    <row r="27" spans="1:6" x14ac:dyDescent="0.25">
      <c r="B27" s="90" t="s">
        <v>241</v>
      </c>
      <c r="C27" s="90" t="s">
        <v>285</v>
      </c>
      <c r="D27" s="91">
        <v>1371</v>
      </c>
      <c r="E27" s="91">
        <v>1930</v>
      </c>
      <c r="F27" s="92">
        <v>1823</v>
      </c>
    </row>
    <row r="28" spans="1:6" x14ac:dyDescent="0.25">
      <c r="B28" s="90" t="s">
        <v>241</v>
      </c>
      <c r="C28" s="90" t="s">
        <v>286</v>
      </c>
      <c r="D28" s="91">
        <v>1607</v>
      </c>
      <c r="E28" s="91">
        <v>2133</v>
      </c>
      <c r="F28" s="92">
        <v>2102</v>
      </c>
    </row>
    <row r="29" spans="1:6" x14ac:dyDescent="0.25">
      <c r="B29" s="90" t="s">
        <v>241</v>
      </c>
      <c r="C29" s="90" t="s">
        <v>287</v>
      </c>
      <c r="D29" s="91">
        <v>951</v>
      </c>
      <c r="E29" s="91">
        <v>1445</v>
      </c>
      <c r="F29" s="92">
        <v>1416</v>
      </c>
    </row>
    <row r="30" spans="1:6" x14ac:dyDescent="0.25">
      <c r="B30" s="90" t="s">
        <v>241</v>
      </c>
      <c r="C30" s="90" t="s">
        <v>288</v>
      </c>
      <c r="D30" s="91">
        <v>889</v>
      </c>
      <c r="E30" s="91">
        <v>1293</v>
      </c>
      <c r="F30" s="92">
        <v>1526</v>
      </c>
    </row>
    <row r="31" spans="1:6" x14ac:dyDescent="0.25">
      <c r="B31" s="90" t="s">
        <v>241</v>
      </c>
      <c r="C31" s="90" t="s">
        <v>289</v>
      </c>
      <c r="D31" s="91">
        <v>1254</v>
      </c>
      <c r="E31" s="91">
        <v>1989</v>
      </c>
      <c r="F31" s="92">
        <v>1685</v>
      </c>
    </row>
    <row r="32" spans="1:6" x14ac:dyDescent="0.25">
      <c r="B32" s="90" t="s">
        <v>241</v>
      </c>
      <c r="C32" s="90" t="s">
        <v>290</v>
      </c>
      <c r="D32" s="91">
        <v>1025</v>
      </c>
      <c r="E32" s="91">
        <v>1362</v>
      </c>
      <c r="F32" s="92">
        <v>2077</v>
      </c>
    </row>
    <row r="33" spans="2:6" x14ac:dyDescent="0.25">
      <c r="B33" s="90" t="s">
        <v>241</v>
      </c>
      <c r="C33" s="90" t="s">
        <v>291</v>
      </c>
      <c r="D33" s="91">
        <v>1194</v>
      </c>
      <c r="E33" s="91">
        <v>2016</v>
      </c>
      <c r="F33" s="92">
        <v>1452</v>
      </c>
    </row>
    <row r="34" spans="2:6" x14ac:dyDescent="0.25">
      <c r="B34" s="90" t="s">
        <v>241</v>
      </c>
      <c r="C34" s="90" t="s">
        <v>292</v>
      </c>
      <c r="D34" s="91">
        <v>607</v>
      </c>
      <c r="E34" s="91">
        <v>853</v>
      </c>
      <c r="F34" s="92">
        <v>1022</v>
      </c>
    </row>
    <row r="35" spans="2:6" x14ac:dyDescent="0.25">
      <c r="B35" s="90" t="s">
        <v>241</v>
      </c>
      <c r="C35" s="90" t="s">
        <v>293</v>
      </c>
      <c r="D35" s="91">
        <v>626</v>
      </c>
      <c r="E35" s="91">
        <v>1569</v>
      </c>
      <c r="F35" s="92">
        <v>1033</v>
      </c>
    </row>
    <row r="36" spans="2:6" x14ac:dyDescent="0.25">
      <c r="B36" s="90" t="s">
        <v>241</v>
      </c>
      <c r="C36" s="90" t="s">
        <v>294</v>
      </c>
      <c r="D36" s="91">
        <v>1037</v>
      </c>
      <c r="E36" s="91">
        <v>2300</v>
      </c>
      <c r="F36" s="92">
        <v>1598</v>
      </c>
    </row>
    <row r="37" spans="2:6" x14ac:dyDescent="0.25">
      <c r="B37" s="90" t="s">
        <v>241</v>
      </c>
      <c r="C37" s="90" t="s">
        <v>295</v>
      </c>
      <c r="D37" s="91">
        <v>972</v>
      </c>
      <c r="E37" s="91">
        <v>2128</v>
      </c>
      <c r="F37" s="92">
        <v>912</v>
      </c>
    </row>
    <row r="38" spans="2:6" x14ac:dyDescent="0.25">
      <c r="B38" s="90" t="s">
        <v>241</v>
      </c>
      <c r="C38" s="90" t="s">
        <v>296</v>
      </c>
      <c r="D38" s="91">
        <v>88</v>
      </c>
      <c r="E38" s="91">
        <v>1159</v>
      </c>
      <c r="F38" s="92">
        <v>0</v>
      </c>
    </row>
    <row r="39" spans="2:6" x14ac:dyDescent="0.25">
      <c r="B39" s="90" t="s">
        <v>241</v>
      </c>
      <c r="C39" s="90" t="s">
        <v>297</v>
      </c>
      <c r="D39" s="91">
        <v>2052</v>
      </c>
      <c r="E39" s="91">
        <v>2159</v>
      </c>
      <c r="F39" s="92">
        <v>1582</v>
      </c>
    </row>
    <row r="40" spans="2:6" x14ac:dyDescent="0.25">
      <c r="B40" s="90" t="s">
        <v>241</v>
      </c>
      <c r="C40" s="90" t="s">
        <v>298</v>
      </c>
      <c r="D40" s="91">
        <v>1582</v>
      </c>
      <c r="E40" s="91">
        <v>2308</v>
      </c>
      <c r="F40" s="92">
        <v>1699</v>
      </c>
    </row>
    <row r="41" spans="2:6" x14ac:dyDescent="0.25">
      <c r="B41" s="90" t="s">
        <v>241</v>
      </c>
      <c r="C41" s="90" t="s">
        <v>299</v>
      </c>
      <c r="D41" s="91">
        <v>1088</v>
      </c>
      <c r="E41" s="91">
        <v>1218</v>
      </c>
      <c r="F41" s="92">
        <v>981</v>
      </c>
    </row>
    <row r="42" spans="2:6" x14ac:dyDescent="0.25">
      <c r="B42" s="90" t="s">
        <v>241</v>
      </c>
      <c r="C42" s="90" t="s">
        <v>300</v>
      </c>
      <c r="D42" s="91">
        <v>706</v>
      </c>
      <c r="E42" s="91">
        <v>1151</v>
      </c>
      <c r="F42" s="92">
        <v>1145</v>
      </c>
    </row>
    <row r="43" spans="2:6" x14ac:dyDescent="0.25">
      <c r="B43" s="90" t="s">
        <v>241</v>
      </c>
      <c r="C43" s="90" t="s">
        <v>301</v>
      </c>
      <c r="D43" s="91">
        <v>1335</v>
      </c>
      <c r="E43" s="91">
        <v>2098</v>
      </c>
      <c r="F43" s="92">
        <v>1322</v>
      </c>
    </row>
    <row r="44" spans="2:6" x14ac:dyDescent="0.25">
      <c r="B44" s="90" t="s">
        <v>241</v>
      </c>
      <c r="C44" s="90" t="s">
        <v>302</v>
      </c>
      <c r="D44" s="91">
        <v>702</v>
      </c>
      <c r="E44" s="91">
        <v>1162</v>
      </c>
      <c r="F44" s="92">
        <v>877</v>
      </c>
    </row>
    <row r="45" spans="2:6" x14ac:dyDescent="0.25">
      <c r="B45" s="90" t="s">
        <v>241</v>
      </c>
      <c r="C45" s="90" t="s">
        <v>303</v>
      </c>
      <c r="D45" s="91">
        <v>968</v>
      </c>
      <c r="E45" s="91">
        <v>1101</v>
      </c>
      <c r="F45" s="92">
        <v>797</v>
      </c>
    </row>
    <row r="46" spans="2:6" x14ac:dyDescent="0.25">
      <c r="B46" s="90" t="s">
        <v>241</v>
      </c>
      <c r="C46" s="90" t="s">
        <v>304</v>
      </c>
      <c r="D46" s="91">
        <v>1664</v>
      </c>
      <c r="E46" s="91">
        <v>2069</v>
      </c>
      <c r="F46" s="92">
        <v>1710</v>
      </c>
    </row>
    <row r="47" spans="2:6" x14ac:dyDescent="0.25">
      <c r="B47" s="90" t="s">
        <v>241</v>
      </c>
      <c r="C47" s="90" t="s">
        <v>305</v>
      </c>
      <c r="D47" s="91">
        <v>624</v>
      </c>
      <c r="E47" s="91">
        <v>770</v>
      </c>
      <c r="F47" s="92">
        <v>746</v>
      </c>
    </row>
    <row r="48" spans="2:6" x14ac:dyDescent="0.25">
      <c r="B48" s="90" t="s">
        <v>241</v>
      </c>
      <c r="C48" s="90" t="s">
        <v>306</v>
      </c>
      <c r="D48" s="91">
        <v>685</v>
      </c>
      <c r="E48" s="91">
        <v>1501</v>
      </c>
      <c r="F48" s="92">
        <v>1126</v>
      </c>
    </row>
    <row r="49" spans="2:6" x14ac:dyDescent="0.25">
      <c r="B49" s="90" t="s">
        <v>241</v>
      </c>
      <c r="C49" s="90" t="s">
        <v>307</v>
      </c>
      <c r="D49" s="91">
        <v>1248</v>
      </c>
      <c r="E49" s="91">
        <v>1763</v>
      </c>
      <c r="F49" s="92">
        <v>1146</v>
      </c>
    </row>
    <row r="50" spans="2:6" x14ac:dyDescent="0.25">
      <c r="B50" s="90" t="s">
        <v>241</v>
      </c>
      <c r="C50" s="90" t="s">
        <v>308</v>
      </c>
      <c r="D50" s="91">
        <v>1342</v>
      </c>
      <c r="E50" s="91">
        <v>1559</v>
      </c>
      <c r="F50" s="92">
        <v>1307</v>
      </c>
    </row>
    <row r="51" spans="2:6" x14ac:dyDescent="0.25">
      <c r="B51" s="90" t="s">
        <v>241</v>
      </c>
      <c r="C51" s="90" t="s">
        <v>309</v>
      </c>
      <c r="D51" s="91">
        <v>760</v>
      </c>
      <c r="E51" s="91">
        <v>965</v>
      </c>
      <c r="F51" s="92">
        <v>921</v>
      </c>
    </row>
    <row r="52" spans="2:6" x14ac:dyDescent="0.25">
      <c r="B52" s="90" t="s">
        <v>241</v>
      </c>
      <c r="C52" s="90" t="s">
        <v>310</v>
      </c>
      <c r="D52" s="91">
        <v>1187</v>
      </c>
      <c r="E52" s="91">
        <v>1568</v>
      </c>
      <c r="F52" s="92">
        <v>1190</v>
      </c>
    </row>
    <row r="53" spans="2:6" x14ac:dyDescent="0.25">
      <c r="B53" s="90" t="s">
        <v>241</v>
      </c>
      <c r="C53" s="90" t="s">
        <v>311</v>
      </c>
      <c r="D53" s="91">
        <v>0</v>
      </c>
      <c r="E53" s="91">
        <v>0</v>
      </c>
      <c r="F53" s="92">
        <v>277</v>
      </c>
    </row>
    <row r="54" spans="2:6" x14ac:dyDescent="0.25">
      <c r="B54" s="90" t="s">
        <v>241</v>
      </c>
      <c r="C54" s="90" t="s">
        <v>312</v>
      </c>
      <c r="D54" s="91">
        <v>368</v>
      </c>
      <c r="E54" s="91">
        <v>1386</v>
      </c>
      <c r="F54" s="92">
        <v>637</v>
      </c>
    </row>
    <row r="55" spans="2:6" x14ac:dyDescent="0.25">
      <c r="B55" s="90" t="s">
        <v>241</v>
      </c>
      <c r="C55" s="90" t="s">
        <v>313</v>
      </c>
      <c r="D55" s="91">
        <v>317</v>
      </c>
      <c r="E55" s="91">
        <v>1215</v>
      </c>
      <c r="F55" s="92">
        <v>478</v>
      </c>
    </row>
    <row r="56" spans="2:6" x14ac:dyDescent="0.25">
      <c r="B56" s="90" t="s">
        <v>241</v>
      </c>
      <c r="C56" s="90" t="s">
        <v>314</v>
      </c>
      <c r="D56" s="91">
        <v>689</v>
      </c>
      <c r="E56" s="91">
        <v>2544</v>
      </c>
      <c r="F56" s="92">
        <v>1009</v>
      </c>
    </row>
    <row r="57" spans="2:6" x14ac:dyDescent="0.25">
      <c r="B57" s="90" t="s">
        <v>241</v>
      </c>
      <c r="C57" s="90" t="s">
        <v>315</v>
      </c>
      <c r="D57" s="91">
        <v>510</v>
      </c>
      <c r="E57" s="91">
        <v>2583</v>
      </c>
      <c r="F57" s="92">
        <v>861</v>
      </c>
    </row>
    <row r="58" spans="2:6" x14ac:dyDescent="0.25">
      <c r="B58" s="90" t="s">
        <v>241</v>
      </c>
      <c r="C58" s="90" t="s">
        <v>316</v>
      </c>
      <c r="D58" s="91">
        <v>257</v>
      </c>
      <c r="E58" s="91">
        <v>1023</v>
      </c>
      <c r="F58" s="92">
        <v>446</v>
      </c>
    </row>
    <row r="59" spans="2:6" x14ac:dyDescent="0.25">
      <c r="B59" s="90" t="s">
        <v>241</v>
      </c>
      <c r="C59" s="90" t="s">
        <v>317</v>
      </c>
      <c r="D59" s="91">
        <v>335</v>
      </c>
      <c r="E59" s="91">
        <v>1225</v>
      </c>
      <c r="F59" s="92">
        <v>520</v>
      </c>
    </row>
    <row r="60" spans="2:6" x14ac:dyDescent="0.25">
      <c r="B60" s="90" t="s">
        <v>241</v>
      </c>
      <c r="C60" s="90" t="s">
        <v>318</v>
      </c>
      <c r="D60" s="91">
        <v>264</v>
      </c>
      <c r="E60" s="91">
        <v>957</v>
      </c>
      <c r="F60" s="92">
        <v>405</v>
      </c>
    </row>
    <row r="61" spans="2:6" x14ac:dyDescent="0.25">
      <c r="B61" s="90" t="s">
        <v>241</v>
      </c>
      <c r="C61" s="90" t="s">
        <v>319</v>
      </c>
      <c r="D61" s="91">
        <v>285</v>
      </c>
      <c r="E61" s="91">
        <v>869</v>
      </c>
      <c r="F61" s="92">
        <v>434</v>
      </c>
    </row>
    <row r="62" spans="2:6" x14ac:dyDescent="0.25">
      <c r="B62" s="90" t="s">
        <v>241</v>
      </c>
      <c r="C62" s="90" t="s">
        <v>320</v>
      </c>
      <c r="D62" s="91">
        <v>550</v>
      </c>
      <c r="E62" s="91">
        <v>2502</v>
      </c>
      <c r="F62" s="92">
        <v>822</v>
      </c>
    </row>
    <row r="63" spans="2:6" x14ac:dyDescent="0.25">
      <c r="B63" s="90" t="s">
        <v>241</v>
      </c>
      <c r="C63" s="90" t="s">
        <v>321</v>
      </c>
      <c r="D63" s="91">
        <v>266</v>
      </c>
      <c r="E63" s="91">
        <v>1382</v>
      </c>
      <c r="F63" s="92">
        <v>501</v>
      </c>
    </row>
    <row r="64" spans="2:6" x14ac:dyDescent="0.25">
      <c r="B64" s="90" t="s">
        <v>241</v>
      </c>
      <c r="C64" s="90" t="s">
        <v>322</v>
      </c>
      <c r="D64" s="91">
        <v>598</v>
      </c>
      <c r="E64" s="91">
        <v>2107</v>
      </c>
      <c r="F64" s="92">
        <v>1002</v>
      </c>
    </row>
    <row r="65" spans="2:6" x14ac:dyDescent="0.25">
      <c r="B65" s="90" t="s">
        <v>241</v>
      </c>
      <c r="C65" s="90" t="s">
        <v>323</v>
      </c>
      <c r="D65" s="91">
        <v>344</v>
      </c>
      <c r="E65" s="91">
        <v>1641</v>
      </c>
      <c r="F65" s="92">
        <v>765</v>
      </c>
    </row>
    <row r="66" spans="2:6" x14ac:dyDescent="0.25">
      <c r="B66" s="90" t="s">
        <v>241</v>
      </c>
      <c r="C66" s="90" t="s">
        <v>324</v>
      </c>
      <c r="D66" s="91">
        <v>183</v>
      </c>
      <c r="E66" s="91">
        <v>867</v>
      </c>
      <c r="F66" s="92">
        <v>384</v>
      </c>
    </row>
    <row r="67" spans="2:6" x14ac:dyDescent="0.25">
      <c r="B67" s="90" t="s">
        <v>241</v>
      </c>
      <c r="C67" s="90" t="s">
        <v>325</v>
      </c>
      <c r="D67" s="91">
        <v>302</v>
      </c>
      <c r="E67" s="91">
        <v>1326</v>
      </c>
      <c r="F67" s="92">
        <v>586</v>
      </c>
    </row>
    <row r="68" spans="2:6" x14ac:dyDescent="0.25">
      <c r="B68" s="90" t="s">
        <v>241</v>
      </c>
      <c r="C68" s="90" t="s">
        <v>326</v>
      </c>
      <c r="D68" s="91">
        <v>177</v>
      </c>
      <c r="E68" s="91">
        <v>823</v>
      </c>
      <c r="F68" s="92">
        <v>548</v>
      </c>
    </row>
    <row r="69" spans="2:6" x14ac:dyDescent="0.25">
      <c r="B69" s="90" t="s">
        <v>241</v>
      </c>
      <c r="C69" s="90" t="s">
        <v>327</v>
      </c>
      <c r="D69" s="91">
        <v>285</v>
      </c>
      <c r="E69" s="91">
        <v>1249</v>
      </c>
      <c r="F69" s="92">
        <v>533</v>
      </c>
    </row>
    <row r="70" spans="2:6" x14ac:dyDescent="0.25">
      <c r="B70" s="90" t="s">
        <v>241</v>
      </c>
      <c r="C70" s="90" t="s">
        <v>328</v>
      </c>
      <c r="D70" s="91">
        <v>236</v>
      </c>
      <c r="E70" s="91">
        <v>1162</v>
      </c>
      <c r="F70" s="92">
        <v>402</v>
      </c>
    </row>
    <row r="71" spans="2:6" x14ac:dyDescent="0.25">
      <c r="B71" s="90" t="s">
        <v>241</v>
      </c>
      <c r="C71" s="90" t="s">
        <v>329</v>
      </c>
      <c r="D71" s="91">
        <v>293</v>
      </c>
      <c r="E71" s="91">
        <v>1016</v>
      </c>
      <c r="F71" s="92">
        <v>585</v>
      </c>
    </row>
    <row r="72" spans="2:6" x14ac:dyDescent="0.25">
      <c r="B72" s="90" t="s">
        <v>241</v>
      </c>
      <c r="C72" s="90" t="s">
        <v>330</v>
      </c>
      <c r="D72" s="91">
        <v>242</v>
      </c>
      <c r="E72" s="91">
        <v>1363</v>
      </c>
      <c r="F72" s="92">
        <v>428</v>
      </c>
    </row>
    <row r="73" spans="2:6" x14ac:dyDescent="0.25">
      <c r="B73" s="90" t="s">
        <v>241</v>
      </c>
      <c r="C73" s="90" t="s">
        <v>331</v>
      </c>
      <c r="D73" s="91">
        <v>248</v>
      </c>
      <c r="E73" s="91">
        <v>1398</v>
      </c>
      <c r="F73" s="92">
        <v>476</v>
      </c>
    </row>
    <row r="74" spans="2:6" x14ac:dyDescent="0.25">
      <c r="B74" s="90" t="s">
        <v>241</v>
      </c>
      <c r="C74" s="90" t="s">
        <v>332</v>
      </c>
      <c r="D74" s="91">
        <v>292</v>
      </c>
      <c r="E74" s="91">
        <v>1380</v>
      </c>
      <c r="F74" s="92">
        <v>456</v>
      </c>
    </row>
    <row r="75" spans="2:6" x14ac:dyDescent="0.25">
      <c r="B75" s="90" t="s">
        <v>241</v>
      </c>
      <c r="C75" s="90" t="s">
        <v>333</v>
      </c>
      <c r="D75" s="91">
        <v>196</v>
      </c>
      <c r="E75" s="91">
        <v>1238</v>
      </c>
      <c r="F75" s="92">
        <v>493</v>
      </c>
    </row>
    <row r="76" spans="2:6" x14ac:dyDescent="0.25">
      <c r="B76" s="90" t="s">
        <v>241</v>
      </c>
      <c r="C76" s="90" t="s">
        <v>334</v>
      </c>
      <c r="D76" s="91">
        <v>432</v>
      </c>
      <c r="E76" s="91">
        <v>1216</v>
      </c>
      <c r="F76" s="92">
        <v>552</v>
      </c>
    </row>
    <row r="77" spans="2:6" x14ac:dyDescent="0.25">
      <c r="B77" s="90" t="s">
        <v>241</v>
      </c>
      <c r="C77" s="90" t="s">
        <v>335</v>
      </c>
      <c r="D77" s="91">
        <v>420</v>
      </c>
      <c r="E77" s="91">
        <v>1581</v>
      </c>
      <c r="F77" s="92">
        <v>525</v>
      </c>
    </row>
    <row r="78" spans="2:6" x14ac:dyDescent="0.25">
      <c r="B78" s="90" t="s">
        <v>241</v>
      </c>
      <c r="C78" s="90" t="s">
        <v>336</v>
      </c>
      <c r="D78" s="91">
        <v>398</v>
      </c>
      <c r="E78" s="91">
        <v>1759</v>
      </c>
      <c r="F78" s="92">
        <v>682</v>
      </c>
    </row>
    <row r="79" spans="2:6" x14ac:dyDescent="0.25">
      <c r="B79" s="90" t="s">
        <v>241</v>
      </c>
      <c r="C79" s="90" t="s">
        <v>337</v>
      </c>
      <c r="D79" s="91">
        <v>128</v>
      </c>
      <c r="E79" s="91">
        <v>791</v>
      </c>
      <c r="F79" s="92">
        <v>242</v>
      </c>
    </row>
    <row r="80" spans="2:6" x14ac:dyDescent="0.25">
      <c r="B80" s="90" t="s">
        <v>241</v>
      </c>
      <c r="C80" s="90" t="s">
        <v>338</v>
      </c>
      <c r="D80" s="91">
        <v>225</v>
      </c>
      <c r="E80" s="91">
        <v>935</v>
      </c>
      <c r="F80" s="92">
        <v>432</v>
      </c>
    </row>
    <row r="81" spans="2:6" x14ac:dyDescent="0.25">
      <c r="B81" s="90" t="s">
        <v>241</v>
      </c>
      <c r="C81" s="90" t="s">
        <v>339</v>
      </c>
      <c r="D81" s="91">
        <v>1358</v>
      </c>
      <c r="E81" s="91">
        <v>2231</v>
      </c>
      <c r="F81" s="92">
        <v>1391</v>
      </c>
    </row>
    <row r="82" spans="2:6" x14ac:dyDescent="0.25">
      <c r="B82" s="90" t="s">
        <v>241</v>
      </c>
      <c r="C82" s="90" t="s">
        <v>340</v>
      </c>
      <c r="D82" s="91">
        <v>1345</v>
      </c>
      <c r="E82" s="91">
        <v>1791</v>
      </c>
      <c r="F82" s="92">
        <v>1460</v>
      </c>
    </row>
    <row r="83" spans="2:6" x14ac:dyDescent="0.25">
      <c r="B83" s="90" t="s">
        <v>241</v>
      </c>
      <c r="C83" s="90" t="s">
        <v>341</v>
      </c>
      <c r="D83" s="91">
        <v>769</v>
      </c>
      <c r="E83" s="91">
        <v>1948</v>
      </c>
      <c r="F83" s="92">
        <v>1011</v>
      </c>
    </row>
    <row r="84" spans="2:6" x14ac:dyDescent="0.25">
      <c r="B84" s="90" t="s">
        <v>241</v>
      </c>
      <c r="C84" s="90" t="s">
        <v>342</v>
      </c>
      <c r="D84" s="91">
        <v>560</v>
      </c>
      <c r="E84" s="91">
        <v>1835</v>
      </c>
      <c r="F84" s="92">
        <v>642</v>
      </c>
    </row>
    <row r="85" spans="2:6" x14ac:dyDescent="0.25">
      <c r="B85" s="90" t="s">
        <v>241</v>
      </c>
      <c r="C85" s="90" t="s">
        <v>343</v>
      </c>
      <c r="D85" s="91">
        <v>836</v>
      </c>
      <c r="E85" s="91">
        <v>2245</v>
      </c>
      <c r="F85" s="92">
        <v>861</v>
      </c>
    </row>
    <row r="86" spans="2:6" x14ac:dyDescent="0.25">
      <c r="B86" s="90" t="s">
        <v>241</v>
      </c>
      <c r="C86" s="90" t="s">
        <v>344</v>
      </c>
      <c r="D86" s="91">
        <v>587</v>
      </c>
      <c r="E86" s="91">
        <v>1471</v>
      </c>
      <c r="F86" s="92">
        <v>623</v>
      </c>
    </row>
    <row r="87" spans="2:6" x14ac:dyDescent="0.25">
      <c r="B87" s="90" t="s">
        <v>241</v>
      </c>
      <c r="C87" s="90" t="s">
        <v>345</v>
      </c>
      <c r="D87" s="91">
        <v>774</v>
      </c>
      <c r="E87" s="91">
        <v>1403</v>
      </c>
      <c r="F87" s="92">
        <v>1085</v>
      </c>
    </row>
    <row r="88" spans="2:6" x14ac:dyDescent="0.25">
      <c r="B88" s="90" t="s">
        <v>241</v>
      </c>
      <c r="C88" s="90" t="s">
        <v>346</v>
      </c>
      <c r="D88" s="91">
        <v>757</v>
      </c>
      <c r="E88" s="91">
        <v>1203</v>
      </c>
      <c r="F88" s="92">
        <v>1175</v>
      </c>
    </row>
    <row r="89" spans="2:6" x14ac:dyDescent="0.25">
      <c r="B89" s="90" t="s">
        <v>241</v>
      </c>
      <c r="C89" s="90" t="s">
        <v>347</v>
      </c>
      <c r="D89" s="91">
        <v>591</v>
      </c>
      <c r="E89" s="91">
        <v>1439</v>
      </c>
      <c r="F89" s="92">
        <v>858</v>
      </c>
    </row>
    <row r="90" spans="2:6" x14ac:dyDescent="0.25">
      <c r="B90" s="90" t="s">
        <v>241</v>
      </c>
      <c r="C90" s="90" t="s">
        <v>348</v>
      </c>
      <c r="D90" s="91">
        <v>457</v>
      </c>
      <c r="E90" s="91">
        <v>1161</v>
      </c>
      <c r="F90" s="92">
        <v>594</v>
      </c>
    </row>
    <row r="91" spans="2:6" x14ac:dyDescent="0.25">
      <c r="B91" s="90" t="s">
        <v>241</v>
      </c>
      <c r="C91" s="90" t="s">
        <v>349</v>
      </c>
      <c r="D91" s="91">
        <v>494</v>
      </c>
      <c r="E91" s="91">
        <v>1585</v>
      </c>
      <c r="F91" s="92">
        <v>705</v>
      </c>
    </row>
    <row r="92" spans="2:6" x14ac:dyDescent="0.25">
      <c r="B92" s="90" t="s">
        <v>241</v>
      </c>
      <c r="C92" s="90" t="s">
        <v>350</v>
      </c>
      <c r="D92" s="91">
        <v>914</v>
      </c>
      <c r="E92" s="91">
        <v>1727</v>
      </c>
      <c r="F92" s="92">
        <v>1308</v>
      </c>
    </row>
    <row r="93" spans="2:6" x14ac:dyDescent="0.25">
      <c r="B93" s="90" t="s">
        <v>241</v>
      </c>
      <c r="C93" s="90" t="s">
        <v>351</v>
      </c>
      <c r="D93" s="91">
        <v>581</v>
      </c>
      <c r="E93" s="91">
        <v>1448</v>
      </c>
      <c r="F93" s="92">
        <v>885</v>
      </c>
    </row>
    <row r="94" spans="2:6" x14ac:dyDescent="0.25">
      <c r="B94" s="90" t="s">
        <v>241</v>
      </c>
      <c r="C94" s="90" t="s">
        <v>352</v>
      </c>
      <c r="D94" s="91">
        <v>31</v>
      </c>
      <c r="E94" s="91">
        <v>0</v>
      </c>
      <c r="F94" s="92">
        <v>78</v>
      </c>
    </row>
    <row r="95" spans="2:6" x14ac:dyDescent="0.25">
      <c r="B95" s="90" t="s">
        <v>241</v>
      </c>
      <c r="C95" s="90" t="s">
        <v>353</v>
      </c>
      <c r="D95" s="91">
        <v>92</v>
      </c>
      <c r="E95" s="91">
        <v>233</v>
      </c>
      <c r="F95" s="92">
        <v>494</v>
      </c>
    </row>
    <row r="96" spans="2:6" x14ac:dyDescent="0.25">
      <c r="B96" s="90" t="s">
        <v>241</v>
      </c>
      <c r="C96" s="90" t="s">
        <v>354</v>
      </c>
      <c r="D96" s="91">
        <v>486</v>
      </c>
      <c r="E96" s="91">
        <v>1176</v>
      </c>
      <c r="F96" s="92">
        <v>400</v>
      </c>
    </row>
    <row r="97" spans="2:6" x14ac:dyDescent="0.25">
      <c r="B97" s="90" t="s">
        <v>241</v>
      </c>
      <c r="C97" s="90" t="s">
        <v>355</v>
      </c>
      <c r="D97" s="91">
        <v>440</v>
      </c>
      <c r="E97" s="91">
        <v>874</v>
      </c>
      <c r="F97" s="92">
        <v>803</v>
      </c>
    </row>
    <row r="98" spans="2:6" x14ac:dyDescent="0.25">
      <c r="B98" s="90" t="s">
        <v>241</v>
      </c>
      <c r="C98" s="90" t="s">
        <v>356</v>
      </c>
      <c r="D98" s="91">
        <v>127</v>
      </c>
      <c r="E98" s="91">
        <v>695</v>
      </c>
      <c r="F98" s="92">
        <v>440</v>
      </c>
    </row>
    <row r="99" spans="2:6" x14ac:dyDescent="0.25">
      <c r="B99" s="90" t="s">
        <v>241</v>
      </c>
      <c r="C99" s="90" t="s">
        <v>357</v>
      </c>
      <c r="D99" s="91">
        <v>257</v>
      </c>
      <c r="E99" s="91">
        <v>1367</v>
      </c>
      <c r="F99" s="92">
        <v>544</v>
      </c>
    </row>
    <row r="100" spans="2:6" x14ac:dyDescent="0.25">
      <c r="B100" s="90" t="s">
        <v>241</v>
      </c>
      <c r="C100" s="90" t="s">
        <v>358</v>
      </c>
      <c r="D100" s="91">
        <v>399</v>
      </c>
      <c r="E100" s="91">
        <v>1238</v>
      </c>
      <c r="F100" s="92">
        <v>622</v>
      </c>
    </row>
    <row r="101" spans="2:6" x14ac:dyDescent="0.25">
      <c r="B101" s="90" t="s">
        <v>241</v>
      </c>
      <c r="C101" s="90" t="s">
        <v>359</v>
      </c>
      <c r="D101" s="91">
        <v>470</v>
      </c>
      <c r="E101" s="91">
        <v>1609</v>
      </c>
      <c r="F101" s="92">
        <v>662</v>
      </c>
    </row>
    <row r="102" spans="2:6" x14ac:dyDescent="0.25">
      <c r="B102" s="90" t="s">
        <v>241</v>
      </c>
      <c r="C102" s="90" t="s">
        <v>360</v>
      </c>
      <c r="D102" s="91">
        <v>651</v>
      </c>
      <c r="E102" s="91">
        <v>2120</v>
      </c>
      <c r="F102" s="92">
        <v>824</v>
      </c>
    </row>
    <row r="103" spans="2:6" x14ac:dyDescent="0.25">
      <c r="B103" s="90" t="s">
        <v>241</v>
      </c>
      <c r="C103" s="90" t="s">
        <v>361</v>
      </c>
      <c r="D103" s="91">
        <v>757</v>
      </c>
      <c r="E103" s="91">
        <v>2498</v>
      </c>
      <c r="F103" s="92">
        <v>846</v>
      </c>
    </row>
    <row r="104" spans="2:6" x14ac:dyDescent="0.25">
      <c r="B104" s="90" t="s">
        <v>241</v>
      </c>
      <c r="C104" s="90" t="s">
        <v>362</v>
      </c>
      <c r="D104" s="91">
        <v>526</v>
      </c>
      <c r="E104" s="91">
        <v>1902</v>
      </c>
      <c r="F104" s="92">
        <v>743</v>
      </c>
    </row>
    <row r="105" spans="2:6" x14ac:dyDescent="0.25">
      <c r="B105" s="90" t="s">
        <v>241</v>
      </c>
      <c r="C105" s="90" t="s">
        <v>363</v>
      </c>
      <c r="D105" s="91">
        <v>196</v>
      </c>
      <c r="E105" s="91">
        <v>994</v>
      </c>
      <c r="F105" s="92">
        <v>477</v>
      </c>
    </row>
    <row r="106" spans="2:6" x14ac:dyDescent="0.25">
      <c r="B106" s="90" t="s">
        <v>241</v>
      </c>
      <c r="C106" s="90" t="s">
        <v>364</v>
      </c>
      <c r="D106" s="91">
        <v>260</v>
      </c>
      <c r="E106" s="91">
        <v>1010</v>
      </c>
      <c r="F106" s="92">
        <v>575</v>
      </c>
    </row>
    <row r="107" spans="2:6" x14ac:dyDescent="0.25">
      <c r="B107" s="90" t="s">
        <v>241</v>
      </c>
      <c r="C107" s="90" t="s">
        <v>365</v>
      </c>
      <c r="D107" s="91">
        <v>192</v>
      </c>
      <c r="E107" s="91">
        <v>899</v>
      </c>
      <c r="F107" s="92">
        <v>369</v>
      </c>
    </row>
    <row r="108" spans="2:6" x14ac:dyDescent="0.25">
      <c r="B108" s="90" t="s">
        <v>241</v>
      </c>
      <c r="C108" s="90" t="s">
        <v>366</v>
      </c>
      <c r="D108" s="91">
        <v>177</v>
      </c>
      <c r="E108" s="91">
        <v>284</v>
      </c>
      <c r="F108" s="92">
        <v>174</v>
      </c>
    </row>
    <row r="109" spans="2:6" x14ac:dyDescent="0.25">
      <c r="B109" s="90" t="s">
        <v>241</v>
      </c>
      <c r="C109" s="90" t="s">
        <v>367</v>
      </c>
      <c r="D109" s="91">
        <v>741</v>
      </c>
      <c r="E109" s="91">
        <v>1781</v>
      </c>
      <c r="F109" s="92">
        <v>1028</v>
      </c>
    </row>
    <row r="110" spans="2:6" x14ac:dyDescent="0.25">
      <c r="B110" s="90" t="s">
        <v>241</v>
      </c>
      <c r="C110" s="90" t="s">
        <v>368</v>
      </c>
      <c r="D110" s="91">
        <v>174</v>
      </c>
      <c r="E110" s="91">
        <v>773</v>
      </c>
      <c r="F110" s="92">
        <v>237</v>
      </c>
    </row>
    <row r="111" spans="2:6" x14ac:dyDescent="0.25">
      <c r="B111" s="90" t="s">
        <v>241</v>
      </c>
      <c r="C111" s="90" t="s">
        <v>369</v>
      </c>
      <c r="D111" s="91">
        <v>94</v>
      </c>
      <c r="E111" s="91">
        <v>769</v>
      </c>
      <c r="F111" s="92">
        <v>228</v>
      </c>
    </row>
    <row r="112" spans="2:6" x14ac:dyDescent="0.25">
      <c r="B112" s="90" t="s">
        <v>241</v>
      </c>
      <c r="C112" s="90" t="s">
        <v>370</v>
      </c>
      <c r="D112" s="91">
        <v>197</v>
      </c>
      <c r="E112" s="91">
        <v>837</v>
      </c>
      <c r="F112" s="92">
        <v>434</v>
      </c>
    </row>
    <row r="113" spans="2:6" x14ac:dyDescent="0.25">
      <c r="B113" s="90" t="s">
        <v>241</v>
      </c>
      <c r="C113" s="90" t="s">
        <v>371</v>
      </c>
      <c r="D113" s="91">
        <v>318</v>
      </c>
      <c r="E113" s="91">
        <v>1120</v>
      </c>
      <c r="F113" s="92">
        <v>444</v>
      </c>
    </row>
    <row r="114" spans="2:6" x14ac:dyDescent="0.25">
      <c r="B114" s="90" t="s">
        <v>241</v>
      </c>
      <c r="C114" s="90" t="s">
        <v>372</v>
      </c>
      <c r="D114" s="91">
        <v>82</v>
      </c>
      <c r="E114" s="91">
        <v>723</v>
      </c>
      <c r="F114" s="92">
        <v>204</v>
      </c>
    </row>
    <row r="115" spans="2:6" x14ac:dyDescent="0.25">
      <c r="B115" s="90" t="s">
        <v>241</v>
      </c>
      <c r="C115" s="90" t="s">
        <v>373</v>
      </c>
      <c r="D115" s="91">
        <v>206</v>
      </c>
      <c r="E115" s="91">
        <v>550</v>
      </c>
      <c r="F115" s="92">
        <v>229</v>
      </c>
    </row>
    <row r="116" spans="2:6" x14ac:dyDescent="0.25">
      <c r="B116" s="90" t="s">
        <v>241</v>
      </c>
      <c r="C116" s="90" t="s">
        <v>374</v>
      </c>
      <c r="D116" s="91">
        <v>390</v>
      </c>
      <c r="E116" s="91">
        <v>1297</v>
      </c>
      <c r="F116" s="92">
        <v>456</v>
      </c>
    </row>
    <row r="117" spans="2:6" x14ac:dyDescent="0.25">
      <c r="B117" s="90" t="s">
        <v>241</v>
      </c>
      <c r="C117" s="90" t="s">
        <v>375</v>
      </c>
      <c r="D117" s="91">
        <v>111</v>
      </c>
      <c r="E117" s="91">
        <v>1160</v>
      </c>
      <c r="F117" s="92">
        <v>282</v>
      </c>
    </row>
    <row r="118" spans="2:6" x14ac:dyDescent="0.25">
      <c r="B118" s="90" t="s">
        <v>241</v>
      </c>
      <c r="C118" s="90" t="s">
        <v>376</v>
      </c>
      <c r="D118" s="91">
        <v>522</v>
      </c>
      <c r="E118" s="91">
        <v>1667</v>
      </c>
      <c r="F118" s="92">
        <v>556</v>
      </c>
    </row>
    <row r="119" spans="2:6" x14ac:dyDescent="0.25">
      <c r="B119" s="90" t="s">
        <v>241</v>
      </c>
      <c r="C119" s="90" t="s">
        <v>377</v>
      </c>
      <c r="D119" s="91">
        <v>278</v>
      </c>
      <c r="E119" s="91">
        <v>1091</v>
      </c>
      <c r="F119" s="92">
        <v>505</v>
      </c>
    </row>
    <row r="120" spans="2:6" x14ac:dyDescent="0.25">
      <c r="B120" s="90" t="s">
        <v>241</v>
      </c>
      <c r="C120" s="90" t="s">
        <v>378</v>
      </c>
      <c r="D120" s="91">
        <v>0</v>
      </c>
      <c r="E120" s="91">
        <v>0</v>
      </c>
      <c r="F120" s="92">
        <v>0</v>
      </c>
    </row>
    <row r="121" spans="2:6" x14ac:dyDescent="0.25">
      <c r="B121" s="90" t="s">
        <v>241</v>
      </c>
      <c r="C121" s="90" t="s">
        <v>379</v>
      </c>
      <c r="D121" s="91">
        <v>120</v>
      </c>
      <c r="E121" s="91">
        <v>1335</v>
      </c>
      <c r="F121" s="92">
        <v>289</v>
      </c>
    </row>
    <row r="122" spans="2:6" x14ac:dyDescent="0.25">
      <c r="B122" s="90" t="s">
        <v>241</v>
      </c>
      <c r="C122" s="90" t="s">
        <v>380</v>
      </c>
      <c r="D122" s="91">
        <v>316</v>
      </c>
      <c r="E122" s="91">
        <v>1028</v>
      </c>
      <c r="F122" s="92">
        <v>505</v>
      </c>
    </row>
    <row r="123" spans="2:6" x14ac:dyDescent="0.25">
      <c r="B123" s="90" t="s">
        <v>241</v>
      </c>
      <c r="C123" s="90" t="s">
        <v>381</v>
      </c>
      <c r="D123" s="91">
        <v>446</v>
      </c>
      <c r="E123" s="91">
        <v>1763</v>
      </c>
      <c r="F123" s="92">
        <v>527</v>
      </c>
    </row>
    <row r="124" spans="2:6" x14ac:dyDescent="0.25">
      <c r="B124" s="90" t="s">
        <v>241</v>
      </c>
      <c r="C124" s="90" t="s">
        <v>382</v>
      </c>
      <c r="D124" s="91">
        <v>0</v>
      </c>
      <c r="E124" s="91">
        <v>0</v>
      </c>
      <c r="F124" s="92">
        <v>0</v>
      </c>
    </row>
    <row r="125" spans="2:6" x14ac:dyDescent="0.25">
      <c r="B125" s="90" t="s">
        <v>241</v>
      </c>
      <c r="C125" s="90" t="s">
        <v>383</v>
      </c>
      <c r="D125" s="91">
        <v>254</v>
      </c>
      <c r="E125" s="91">
        <v>642</v>
      </c>
      <c r="F125" s="92">
        <v>308</v>
      </c>
    </row>
    <row r="126" spans="2:6" x14ac:dyDescent="0.25">
      <c r="B126" s="90" t="s">
        <v>241</v>
      </c>
      <c r="C126" s="90" t="s">
        <v>384</v>
      </c>
      <c r="D126" s="91">
        <v>157</v>
      </c>
      <c r="E126" s="91">
        <v>440</v>
      </c>
      <c r="F126" s="92">
        <v>436</v>
      </c>
    </row>
    <row r="127" spans="2:6" x14ac:dyDescent="0.25">
      <c r="B127" s="90" t="s">
        <v>241</v>
      </c>
      <c r="C127" s="90" t="s">
        <v>385</v>
      </c>
      <c r="D127" s="91">
        <v>788</v>
      </c>
      <c r="E127" s="91">
        <v>988</v>
      </c>
      <c r="F127" s="92">
        <v>673</v>
      </c>
    </row>
    <row r="128" spans="2:6" x14ac:dyDescent="0.25">
      <c r="B128" s="90" t="s">
        <v>241</v>
      </c>
      <c r="C128" s="90" t="s">
        <v>386</v>
      </c>
      <c r="D128" s="91">
        <v>398</v>
      </c>
      <c r="E128" s="91">
        <v>454</v>
      </c>
      <c r="F128" s="92">
        <v>333</v>
      </c>
    </row>
    <row r="129" spans="2:6" x14ac:dyDescent="0.25">
      <c r="B129" s="90" t="s">
        <v>241</v>
      </c>
      <c r="C129" s="90" t="s">
        <v>387</v>
      </c>
      <c r="D129" s="91">
        <v>796</v>
      </c>
      <c r="E129" s="91">
        <v>912</v>
      </c>
      <c r="F129" s="92">
        <v>687</v>
      </c>
    </row>
    <row r="130" spans="2:6" x14ac:dyDescent="0.25">
      <c r="B130" s="90" t="s">
        <v>241</v>
      </c>
      <c r="C130" s="90" t="s">
        <v>388</v>
      </c>
      <c r="D130" s="91">
        <v>633</v>
      </c>
      <c r="E130" s="91">
        <v>1349</v>
      </c>
      <c r="F130" s="92">
        <v>564</v>
      </c>
    </row>
    <row r="131" spans="2:6" x14ac:dyDescent="0.25">
      <c r="B131" s="90" t="s">
        <v>241</v>
      </c>
      <c r="C131" s="90" t="s">
        <v>389</v>
      </c>
      <c r="D131" s="91">
        <v>1018</v>
      </c>
      <c r="E131" s="91">
        <v>1622</v>
      </c>
      <c r="F131" s="92">
        <v>826</v>
      </c>
    </row>
    <row r="132" spans="2:6" x14ac:dyDescent="0.25">
      <c r="B132" s="90" t="s">
        <v>241</v>
      </c>
      <c r="C132" s="90" t="s">
        <v>390</v>
      </c>
      <c r="D132" s="91">
        <v>356</v>
      </c>
      <c r="E132" s="91">
        <v>429</v>
      </c>
      <c r="F132" s="92">
        <v>621</v>
      </c>
    </row>
    <row r="133" spans="2:6" x14ac:dyDescent="0.25">
      <c r="B133" s="90" t="s">
        <v>241</v>
      </c>
      <c r="C133" s="90" t="s">
        <v>391</v>
      </c>
      <c r="D133" s="91">
        <v>1173</v>
      </c>
      <c r="E133" s="91">
        <v>1342</v>
      </c>
      <c r="F133" s="92">
        <v>605</v>
      </c>
    </row>
    <row r="134" spans="2:6" x14ac:dyDescent="0.25">
      <c r="B134" s="90" t="s">
        <v>241</v>
      </c>
      <c r="C134" s="90" t="s">
        <v>392</v>
      </c>
      <c r="D134" s="91">
        <v>729</v>
      </c>
      <c r="E134" s="91">
        <v>1085</v>
      </c>
      <c r="F134" s="92">
        <v>838</v>
      </c>
    </row>
    <row r="135" spans="2:6" x14ac:dyDescent="0.25">
      <c r="B135" s="90" t="s">
        <v>241</v>
      </c>
      <c r="C135" s="90" t="s">
        <v>393</v>
      </c>
      <c r="D135" s="91">
        <v>935</v>
      </c>
      <c r="E135" s="91">
        <v>1436</v>
      </c>
      <c r="F135" s="92">
        <v>1237</v>
      </c>
    </row>
    <row r="136" spans="2:6" x14ac:dyDescent="0.25">
      <c r="B136" s="90" t="s">
        <v>241</v>
      </c>
      <c r="C136" s="90" t="s">
        <v>394</v>
      </c>
      <c r="D136" s="91">
        <v>930</v>
      </c>
      <c r="E136" s="91">
        <v>1328</v>
      </c>
      <c r="F136" s="92">
        <v>1024</v>
      </c>
    </row>
    <row r="137" spans="2:6" x14ac:dyDescent="0.25">
      <c r="B137" s="90" t="s">
        <v>241</v>
      </c>
      <c r="C137" s="90" t="s">
        <v>395</v>
      </c>
      <c r="D137" s="91">
        <v>1207</v>
      </c>
      <c r="E137" s="91">
        <v>1863</v>
      </c>
      <c r="F137" s="92">
        <v>1375</v>
      </c>
    </row>
    <row r="138" spans="2:6" x14ac:dyDescent="0.25">
      <c r="B138" s="90" t="s">
        <v>241</v>
      </c>
      <c r="C138" s="90" t="s">
        <v>396</v>
      </c>
      <c r="D138" s="91">
        <v>1089</v>
      </c>
      <c r="E138" s="91">
        <v>1554</v>
      </c>
      <c r="F138" s="92">
        <v>945</v>
      </c>
    </row>
    <row r="139" spans="2:6" x14ac:dyDescent="0.25">
      <c r="B139" s="90" t="s">
        <v>241</v>
      </c>
      <c r="C139" s="90" t="s">
        <v>397</v>
      </c>
      <c r="D139" s="91">
        <v>1179</v>
      </c>
      <c r="E139" s="91">
        <v>1541</v>
      </c>
      <c r="F139" s="92">
        <v>1136</v>
      </c>
    </row>
    <row r="140" spans="2:6" x14ac:dyDescent="0.25">
      <c r="B140" s="90" t="s">
        <v>241</v>
      </c>
      <c r="C140" s="90" t="s">
        <v>398</v>
      </c>
      <c r="D140" s="91">
        <v>646</v>
      </c>
      <c r="E140" s="91">
        <v>1144</v>
      </c>
      <c r="F140" s="92">
        <v>1027</v>
      </c>
    </row>
    <row r="141" spans="2:6" x14ac:dyDescent="0.25">
      <c r="B141" s="90" t="s">
        <v>241</v>
      </c>
      <c r="C141" s="90" t="s">
        <v>399</v>
      </c>
      <c r="D141" s="91">
        <v>689</v>
      </c>
      <c r="E141" s="91">
        <v>1352</v>
      </c>
      <c r="F141" s="92">
        <v>777</v>
      </c>
    </row>
    <row r="142" spans="2:6" x14ac:dyDescent="0.25">
      <c r="B142" s="90" t="s">
        <v>241</v>
      </c>
      <c r="C142" s="90" t="s">
        <v>400</v>
      </c>
      <c r="D142" s="91">
        <v>92</v>
      </c>
      <c r="E142" s="91">
        <v>1393</v>
      </c>
      <c r="F142" s="92">
        <v>295</v>
      </c>
    </row>
    <row r="143" spans="2:6" x14ac:dyDescent="0.25">
      <c r="B143" s="90" t="s">
        <v>241</v>
      </c>
      <c r="C143" s="90" t="s">
        <v>401</v>
      </c>
      <c r="D143" s="91">
        <v>361</v>
      </c>
      <c r="E143" s="91">
        <v>4109</v>
      </c>
      <c r="F143" s="92">
        <v>761</v>
      </c>
    </row>
    <row r="144" spans="2:6" x14ac:dyDescent="0.25">
      <c r="B144" s="90" t="s">
        <v>241</v>
      </c>
      <c r="C144" s="90" t="s">
        <v>402</v>
      </c>
      <c r="D144" s="91">
        <v>148</v>
      </c>
      <c r="E144" s="91">
        <v>1510</v>
      </c>
      <c r="F144" s="92">
        <v>300</v>
      </c>
    </row>
    <row r="145" spans="2:6" x14ac:dyDescent="0.25">
      <c r="B145" s="90" t="s">
        <v>241</v>
      </c>
      <c r="C145" s="90" t="s">
        <v>403</v>
      </c>
      <c r="D145" s="91">
        <v>367</v>
      </c>
      <c r="E145" s="91">
        <v>1942</v>
      </c>
      <c r="F145" s="92">
        <v>817</v>
      </c>
    </row>
    <row r="146" spans="2:6" x14ac:dyDescent="0.25">
      <c r="B146" s="90" t="s">
        <v>241</v>
      </c>
      <c r="C146" s="90" t="s">
        <v>404</v>
      </c>
      <c r="D146" s="91">
        <v>96</v>
      </c>
      <c r="E146" s="91">
        <v>249</v>
      </c>
      <c r="F146" s="92">
        <v>191</v>
      </c>
    </row>
    <row r="147" spans="2:6" x14ac:dyDescent="0.25">
      <c r="B147" s="90" t="s">
        <v>241</v>
      </c>
      <c r="C147" s="90" t="s">
        <v>405</v>
      </c>
      <c r="D147" s="91">
        <v>104</v>
      </c>
      <c r="E147" s="91">
        <v>281</v>
      </c>
      <c r="F147" s="92">
        <v>241</v>
      </c>
    </row>
    <row r="148" spans="2:6" x14ac:dyDescent="0.25">
      <c r="B148" s="90" t="s">
        <v>241</v>
      </c>
      <c r="C148" s="90" t="s">
        <v>406</v>
      </c>
      <c r="D148" s="91">
        <v>152</v>
      </c>
      <c r="E148" s="91">
        <v>225</v>
      </c>
      <c r="F148" s="92">
        <v>215</v>
      </c>
    </row>
    <row r="149" spans="2:6" x14ac:dyDescent="0.25">
      <c r="B149" s="90" t="s">
        <v>241</v>
      </c>
      <c r="C149" s="90" t="s">
        <v>407</v>
      </c>
      <c r="D149" s="91">
        <v>661</v>
      </c>
      <c r="E149" s="91">
        <v>1509</v>
      </c>
      <c r="F149" s="92">
        <v>818</v>
      </c>
    </row>
    <row r="150" spans="2:6" x14ac:dyDescent="0.25">
      <c r="B150" s="90" t="s">
        <v>241</v>
      </c>
      <c r="C150" s="90" t="s">
        <v>408</v>
      </c>
      <c r="D150" s="91">
        <v>417</v>
      </c>
      <c r="E150" s="91">
        <v>591</v>
      </c>
      <c r="F150" s="92">
        <v>414</v>
      </c>
    </row>
    <row r="151" spans="2:6" x14ac:dyDescent="0.25">
      <c r="B151" s="90" t="s">
        <v>241</v>
      </c>
      <c r="C151" s="90" t="s">
        <v>409</v>
      </c>
      <c r="D151" s="91">
        <v>588</v>
      </c>
      <c r="E151" s="91">
        <v>1036</v>
      </c>
      <c r="F151" s="92">
        <v>725</v>
      </c>
    </row>
    <row r="152" spans="2:6" x14ac:dyDescent="0.25">
      <c r="B152" s="90" t="s">
        <v>241</v>
      </c>
      <c r="C152" s="90" t="s">
        <v>410</v>
      </c>
      <c r="D152" s="91">
        <v>99</v>
      </c>
      <c r="E152" s="91">
        <v>566</v>
      </c>
      <c r="F152" s="92">
        <v>200</v>
      </c>
    </row>
    <row r="153" spans="2:6" x14ac:dyDescent="0.25">
      <c r="B153" s="90" t="s">
        <v>241</v>
      </c>
      <c r="C153" s="90" t="s">
        <v>411</v>
      </c>
      <c r="D153" s="91">
        <v>1113</v>
      </c>
      <c r="E153" s="91">
        <v>1539</v>
      </c>
      <c r="F153" s="92">
        <v>1209</v>
      </c>
    </row>
    <row r="154" spans="2:6" x14ac:dyDescent="0.25">
      <c r="B154" s="90" t="s">
        <v>241</v>
      </c>
      <c r="C154" s="90" t="s">
        <v>412</v>
      </c>
      <c r="D154" s="91">
        <v>1462</v>
      </c>
      <c r="E154" s="91">
        <v>1993</v>
      </c>
      <c r="F154" s="92">
        <v>1444</v>
      </c>
    </row>
    <row r="155" spans="2:6" x14ac:dyDescent="0.25">
      <c r="B155" s="90" t="s">
        <v>241</v>
      </c>
      <c r="C155" s="90" t="s">
        <v>413</v>
      </c>
      <c r="D155" s="91">
        <v>1094</v>
      </c>
      <c r="E155" s="91">
        <v>1924</v>
      </c>
      <c r="F155" s="92">
        <v>1466</v>
      </c>
    </row>
    <row r="156" spans="2:6" x14ac:dyDescent="0.25">
      <c r="B156" s="90" t="s">
        <v>241</v>
      </c>
      <c r="C156" s="90" t="s">
        <v>414</v>
      </c>
      <c r="D156" s="91">
        <v>924</v>
      </c>
      <c r="E156" s="91">
        <v>1799</v>
      </c>
      <c r="F156" s="92">
        <v>1269</v>
      </c>
    </row>
    <row r="157" spans="2:6" x14ac:dyDescent="0.25">
      <c r="B157" s="90" t="s">
        <v>241</v>
      </c>
      <c r="C157" s="90" t="s">
        <v>415</v>
      </c>
      <c r="D157" s="91">
        <v>0</v>
      </c>
      <c r="E157" s="91">
        <v>0</v>
      </c>
      <c r="F157" s="92">
        <v>0</v>
      </c>
    </row>
    <row r="158" spans="2:6" x14ac:dyDescent="0.25">
      <c r="B158" s="90" t="s">
        <v>241</v>
      </c>
      <c r="C158" s="90" t="s">
        <v>416</v>
      </c>
      <c r="D158" s="91">
        <v>296</v>
      </c>
      <c r="E158" s="91">
        <v>443</v>
      </c>
      <c r="F158" s="92">
        <v>157</v>
      </c>
    </row>
    <row r="159" spans="2:6" x14ac:dyDescent="0.25">
      <c r="B159" s="90" t="s">
        <v>241</v>
      </c>
      <c r="C159" s="90" t="s">
        <v>417</v>
      </c>
      <c r="D159" s="91">
        <v>858</v>
      </c>
      <c r="E159" s="91">
        <v>1562</v>
      </c>
      <c r="F159" s="92">
        <v>832</v>
      </c>
    </row>
    <row r="160" spans="2:6" x14ac:dyDescent="0.25">
      <c r="B160" s="90" t="s">
        <v>241</v>
      </c>
      <c r="C160" s="90" t="s">
        <v>418</v>
      </c>
      <c r="D160" s="91">
        <v>487</v>
      </c>
      <c r="E160" s="91">
        <v>821</v>
      </c>
      <c r="F160" s="92">
        <v>556</v>
      </c>
    </row>
    <row r="161" spans="2:6" x14ac:dyDescent="0.25">
      <c r="B161" s="90" t="s">
        <v>241</v>
      </c>
      <c r="C161" s="90" t="s">
        <v>419</v>
      </c>
      <c r="D161" s="91">
        <v>985</v>
      </c>
      <c r="E161" s="91">
        <v>2100</v>
      </c>
      <c r="F161" s="92">
        <v>1402</v>
      </c>
    </row>
    <row r="162" spans="2:6" x14ac:dyDescent="0.25">
      <c r="B162" s="90" t="s">
        <v>241</v>
      </c>
      <c r="C162" s="90" t="s">
        <v>420</v>
      </c>
      <c r="D162" s="91">
        <v>430</v>
      </c>
      <c r="E162" s="91">
        <v>976</v>
      </c>
      <c r="F162" s="92">
        <v>616</v>
      </c>
    </row>
    <row r="163" spans="2:6" x14ac:dyDescent="0.25">
      <c r="B163" s="90" t="s">
        <v>241</v>
      </c>
      <c r="C163" s="90" t="s">
        <v>421</v>
      </c>
      <c r="D163" s="91">
        <v>11</v>
      </c>
      <c r="E163" s="91">
        <v>4</v>
      </c>
      <c r="F163" s="92">
        <v>351</v>
      </c>
    </row>
    <row r="164" spans="2:6" x14ac:dyDescent="0.25">
      <c r="B164" s="90" t="s">
        <v>241</v>
      </c>
      <c r="C164" s="90" t="s">
        <v>422</v>
      </c>
      <c r="D164" s="91">
        <v>370</v>
      </c>
      <c r="E164" s="91">
        <v>480</v>
      </c>
      <c r="F164" s="92">
        <v>398</v>
      </c>
    </row>
    <row r="165" spans="2:6" x14ac:dyDescent="0.25">
      <c r="B165" s="90" t="s">
        <v>241</v>
      </c>
      <c r="C165" s="90" t="s">
        <v>423</v>
      </c>
      <c r="D165" s="91">
        <v>778</v>
      </c>
      <c r="E165" s="91">
        <v>1343</v>
      </c>
      <c r="F165" s="92">
        <v>1071</v>
      </c>
    </row>
    <row r="166" spans="2:6" x14ac:dyDescent="0.25">
      <c r="B166" s="90" t="s">
        <v>241</v>
      </c>
      <c r="C166" s="90" t="s">
        <v>424</v>
      </c>
      <c r="D166" s="91">
        <v>783</v>
      </c>
      <c r="E166" s="91">
        <v>1429</v>
      </c>
      <c r="F166" s="92">
        <v>1018</v>
      </c>
    </row>
    <row r="167" spans="2:6" x14ac:dyDescent="0.25">
      <c r="B167" s="90" t="s">
        <v>241</v>
      </c>
      <c r="C167" s="90" t="s">
        <v>425</v>
      </c>
      <c r="D167" s="91">
        <v>1376</v>
      </c>
      <c r="E167" s="91">
        <v>2314</v>
      </c>
      <c r="F167" s="92">
        <v>1440</v>
      </c>
    </row>
    <row r="168" spans="2:6" x14ac:dyDescent="0.25">
      <c r="B168" s="90" t="s">
        <v>241</v>
      </c>
      <c r="C168" s="90" t="s">
        <v>426</v>
      </c>
      <c r="D168" s="91">
        <v>717</v>
      </c>
      <c r="E168" s="91">
        <v>1732</v>
      </c>
      <c r="F168" s="92">
        <v>1623</v>
      </c>
    </row>
    <row r="169" spans="2:6" x14ac:dyDescent="0.25">
      <c r="B169" s="90" t="s">
        <v>241</v>
      </c>
      <c r="C169" s="90" t="s">
        <v>427</v>
      </c>
      <c r="D169" s="91">
        <v>301</v>
      </c>
      <c r="E169" s="91">
        <v>720</v>
      </c>
      <c r="F169" s="92">
        <v>629</v>
      </c>
    </row>
    <row r="170" spans="2:6" x14ac:dyDescent="0.25">
      <c r="B170" s="90" t="s">
        <v>241</v>
      </c>
      <c r="C170" s="90" t="s">
        <v>428</v>
      </c>
      <c r="D170" s="91">
        <v>179</v>
      </c>
      <c r="E170" s="91">
        <v>303</v>
      </c>
      <c r="F170" s="92">
        <v>258</v>
      </c>
    </row>
    <row r="171" spans="2:6" x14ac:dyDescent="0.25">
      <c r="B171" s="90" t="s">
        <v>241</v>
      </c>
      <c r="C171" s="90" t="s">
        <v>429</v>
      </c>
      <c r="D171" s="91">
        <v>919</v>
      </c>
      <c r="E171" s="91">
        <v>1445</v>
      </c>
      <c r="F171" s="92">
        <v>1250</v>
      </c>
    </row>
    <row r="172" spans="2:6" x14ac:dyDescent="0.25">
      <c r="B172" s="90" t="s">
        <v>241</v>
      </c>
      <c r="C172" s="90" t="s">
        <v>430</v>
      </c>
      <c r="D172" s="91">
        <v>396</v>
      </c>
      <c r="E172" s="91">
        <v>704</v>
      </c>
      <c r="F172" s="92">
        <v>712</v>
      </c>
    </row>
    <row r="173" spans="2:6" x14ac:dyDescent="0.25">
      <c r="B173" s="90" t="s">
        <v>241</v>
      </c>
      <c r="C173" s="90" t="s">
        <v>431</v>
      </c>
      <c r="D173" s="91">
        <v>387</v>
      </c>
      <c r="E173" s="91">
        <v>735</v>
      </c>
      <c r="F173" s="92">
        <v>677</v>
      </c>
    </row>
    <row r="174" spans="2:6" x14ac:dyDescent="0.25">
      <c r="B174" s="90" t="s">
        <v>241</v>
      </c>
      <c r="C174" s="90" t="s">
        <v>432</v>
      </c>
      <c r="D174" s="91">
        <v>869</v>
      </c>
      <c r="E174" s="91">
        <v>1267</v>
      </c>
      <c r="F174" s="92">
        <v>801</v>
      </c>
    </row>
    <row r="175" spans="2:6" x14ac:dyDescent="0.25">
      <c r="B175" s="90" t="s">
        <v>241</v>
      </c>
      <c r="C175" s="90" t="s">
        <v>433</v>
      </c>
      <c r="D175" s="91">
        <v>1500</v>
      </c>
      <c r="E175" s="91">
        <v>2104</v>
      </c>
      <c r="F175" s="92">
        <v>1570</v>
      </c>
    </row>
    <row r="176" spans="2:6" x14ac:dyDescent="0.25">
      <c r="B176" s="90" t="s">
        <v>241</v>
      </c>
      <c r="C176" s="90" t="s">
        <v>434</v>
      </c>
      <c r="D176" s="91">
        <v>1064</v>
      </c>
      <c r="E176" s="91">
        <v>1509</v>
      </c>
      <c r="F176" s="92">
        <v>1126</v>
      </c>
    </row>
    <row r="177" spans="2:6" x14ac:dyDescent="0.25">
      <c r="B177" s="90" t="s">
        <v>241</v>
      </c>
      <c r="C177" s="90" t="s">
        <v>435</v>
      </c>
      <c r="D177" s="91">
        <v>1272</v>
      </c>
      <c r="E177" s="91">
        <v>2058</v>
      </c>
      <c r="F177" s="92">
        <v>1702</v>
      </c>
    </row>
    <row r="178" spans="2:6" x14ac:dyDescent="0.25">
      <c r="B178" s="90" t="s">
        <v>241</v>
      </c>
      <c r="C178" s="90" t="s">
        <v>436</v>
      </c>
      <c r="D178" s="91">
        <v>916</v>
      </c>
      <c r="E178" s="91">
        <v>1326</v>
      </c>
      <c r="F178" s="92">
        <v>840</v>
      </c>
    </row>
    <row r="179" spans="2:6" x14ac:dyDescent="0.25">
      <c r="B179" s="90" t="s">
        <v>241</v>
      </c>
      <c r="C179" s="90" t="s">
        <v>437</v>
      </c>
      <c r="D179" s="91">
        <v>877</v>
      </c>
      <c r="E179" s="91">
        <v>1498</v>
      </c>
      <c r="F179" s="92">
        <v>1274</v>
      </c>
    </row>
    <row r="180" spans="2:6" x14ac:dyDescent="0.25">
      <c r="B180" s="90" t="s">
        <v>241</v>
      </c>
      <c r="C180" s="90" t="s">
        <v>438</v>
      </c>
      <c r="D180" s="91">
        <v>716</v>
      </c>
      <c r="E180" s="91">
        <v>1119</v>
      </c>
      <c r="F180" s="92">
        <v>837</v>
      </c>
    </row>
    <row r="181" spans="2:6" x14ac:dyDescent="0.25">
      <c r="B181" s="90" t="s">
        <v>241</v>
      </c>
      <c r="C181" s="90" t="s">
        <v>439</v>
      </c>
      <c r="D181" s="91">
        <v>772</v>
      </c>
      <c r="E181" s="91">
        <v>1410</v>
      </c>
      <c r="F181" s="92">
        <v>1199</v>
      </c>
    </row>
    <row r="182" spans="2:6" x14ac:dyDescent="0.25">
      <c r="B182" s="90" t="s">
        <v>241</v>
      </c>
      <c r="C182" s="90" t="s">
        <v>440</v>
      </c>
      <c r="D182" s="91">
        <v>1190</v>
      </c>
      <c r="E182" s="91">
        <v>1969</v>
      </c>
      <c r="F182" s="92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0C06-1B46-42AC-A126-45D97496F278}">
  <sheetPr codeName="Sheet24"/>
  <dimension ref="A1:H21"/>
  <sheetViews>
    <sheetView showGridLines="0" workbookViewId="0">
      <selection activeCell="H21" sqref="H21"/>
    </sheetView>
  </sheetViews>
  <sheetFormatPr defaultColWidth="9.140625" defaultRowHeight="15" x14ac:dyDescent="0.25"/>
  <cols>
    <col min="1" max="1" width="2.42578125" customWidth="1"/>
    <col min="2" max="2" width="7.7109375" customWidth="1"/>
    <col min="4" max="4" width="14.42578125" bestFit="1" customWidth="1"/>
    <col min="5" max="5" width="16.5703125" bestFit="1" customWidth="1"/>
    <col min="7" max="7" width="12.5703125" customWidth="1"/>
  </cols>
  <sheetData>
    <row r="1" spans="1:8" x14ac:dyDescent="0.25">
      <c r="B1" s="93" t="s">
        <v>441</v>
      </c>
      <c r="C1" s="93" t="s">
        <v>442</v>
      </c>
      <c r="D1" s="93" t="s">
        <v>443</v>
      </c>
      <c r="E1" s="93" t="s">
        <v>444</v>
      </c>
    </row>
    <row r="2" spans="1:8" x14ac:dyDescent="0.25">
      <c r="B2" s="94">
        <v>1</v>
      </c>
      <c r="C2" s="95">
        <v>8000</v>
      </c>
      <c r="D2" s="94" t="s">
        <v>445</v>
      </c>
      <c r="E2" s="94">
        <v>10</v>
      </c>
    </row>
    <row r="3" spans="1:8" x14ac:dyDescent="0.25">
      <c r="B3" s="94">
        <v>2</v>
      </c>
      <c r="C3" s="95">
        <v>11000</v>
      </c>
      <c r="D3" s="94" t="s">
        <v>445</v>
      </c>
      <c r="E3" s="94">
        <v>9</v>
      </c>
    </row>
    <row r="4" spans="1:8" x14ac:dyDescent="0.25">
      <c r="B4" s="94">
        <v>3</v>
      </c>
      <c r="C4" s="95">
        <v>6000</v>
      </c>
      <c r="D4" s="94" t="s">
        <v>446</v>
      </c>
      <c r="E4" s="94">
        <v>5</v>
      </c>
    </row>
    <row r="5" spans="1:8" x14ac:dyDescent="0.25">
      <c r="B5" s="94">
        <v>4</v>
      </c>
      <c r="C5" s="95">
        <v>15000</v>
      </c>
      <c r="D5" s="94" t="s">
        <v>445</v>
      </c>
      <c r="E5" s="94">
        <v>10</v>
      </c>
    </row>
    <row r="6" spans="1:8" x14ac:dyDescent="0.25">
      <c r="B6" s="94">
        <v>5</v>
      </c>
      <c r="C6" s="95">
        <v>10000</v>
      </c>
      <c r="D6" s="94" t="s">
        <v>446</v>
      </c>
      <c r="E6" s="94">
        <v>2</v>
      </c>
    </row>
    <row r="7" spans="1:8" x14ac:dyDescent="0.25">
      <c r="B7" s="94">
        <v>6</v>
      </c>
      <c r="C7" s="95">
        <v>15000</v>
      </c>
      <c r="D7" s="94" t="s">
        <v>445</v>
      </c>
      <c r="E7" s="94">
        <v>5</v>
      </c>
    </row>
    <row r="8" spans="1:8" x14ac:dyDescent="0.25">
      <c r="B8" s="94">
        <v>7</v>
      </c>
      <c r="C8" s="95">
        <v>13000</v>
      </c>
      <c r="D8" s="94" t="s">
        <v>445</v>
      </c>
      <c r="E8" s="94">
        <v>999</v>
      </c>
    </row>
    <row r="9" spans="1:8" x14ac:dyDescent="0.25">
      <c r="B9" s="94">
        <v>8</v>
      </c>
      <c r="C9" s="95">
        <v>8000</v>
      </c>
      <c r="D9" s="94" t="s">
        <v>445</v>
      </c>
      <c r="E9" s="94">
        <v>2</v>
      </c>
    </row>
    <row r="10" spans="1:8" x14ac:dyDescent="0.25">
      <c r="B10" s="94">
        <v>9</v>
      </c>
      <c r="C10" s="95">
        <v>11000</v>
      </c>
      <c r="D10" s="94" t="s">
        <v>446</v>
      </c>
      <c r="E10" s="94">
        <v>5</v>
      </c>
    </row>
    <row r="11" spans="1:8" x14ac:dyDescent="0.25">
      <c r="B11" s="94">
        <v>10</v>
      </c>
      <c r="C11" s="95">
        <v>9000</v>
      </c>
      <c r="D11" s="94" t="s">
        <v>445</v>
      </c>
      <c r="E11" s="94">
        <v>6</v>
      </c>
    </row>
    <row r="14" spans="1:8" ht="15.75" thickBot="1" x14ac:dyDescent="0.3">
      <c r="B14" s="96" t="s">
        <v>447</v>
      </c>
    </row>
    <row r="15" spans="1:8" ht="15.75" thickBot="1" x14ac:dyDescent="0.3">
      <c r="A15">
        <v>1</v>
      </c>
      <c r="B15" t="s">
        <v>448</v>
      </c>
      <c r="H15" s="97">
        <f>SUMIF(D2:D11,"Yes",C2:C11)</f>
        <v>79000</v>
      </c>
    </row>
    <row r="16" spans="1:8" ht="15.75" thickBot="1" x14ac:dyDescent="0.3">
      <c r="A16">
        <v>2</v>
      </c>
      <c r="B16" t="s">
        <v>449</v>
      </c>
      <c r="H16" s="97">
        <f>SUMIF(D2:D11,"No",C2:C11)</f>
        <v>27000</v>
      </c>
    </row>
    <row r="17" spans="1:8" ht="15.75" thickBot="1" x14ac:dyDescent="0.3"/>
    <row r="18" spans="1:8" ht="15.75" thickBot="1" x14ac:dyDescent="0.3">
      <c r="A18">
        <v>3</v>
      </c>
      <c r="B18" t="s">
        <v>450</v>
      </c>
      <c r="H18" s="97">
        <f>SUMIF(C1:C11,"&gt;10000",E1:E11)</f>
        <v>1028</v>
      </c>
    </row>
    <row r="19" spans="1:8" ht="15.75" thickBot="1" x14ac:dyDescent="0.3"/>
    <row r="20" spans="1:8" ht="15.75" thickBot="1" x14ac:dyDescent="0.3">
      <c r="A20">
        <v>4</v>
      </c>
      <c r="B20" t="s">
        <v>451</v>
      </c>
      <c r="H20" s="97">
        <f>SUMIF(C3:C13,"&gt;10000")</f>
        <v>65000</v>
      </c>
    </row>
    <row r="21" spans="1:8" ht="15.75" thickBot="1" x14ac:dyDescent="0.3">
      <c r="A21">
        <v>5</v>
      </c>
      <c r="B21" t="s">
        <v>452</v>
      </c>
      <c r="H21" s="97">
        <f>SUMIF(C1:C11,"&lt;9500")</f>
        <v>31000</v>
      </c>
    </row>
  </sheetData>
  <sheetProtection sheet="1" objects="1" scenario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C3FE-9443-4545-A835-9E2458A6F54D}">
  <sheetPr codeName="Sheet25">
    <tabColor rgb="FFFF0000"/>
  </sheetPr>
  <dimension ref="A1:K48"/>
  <sheetViews>
    <sheetView showGridLines="0" workbookViewId="0">
      <selection activeCell="G8" sqref="G8"/>
    </sheetView>
  </sheetViews>
  <sheetFormatPr defaultColWidth="8.7109375" defaultRowHeight="12.75" outlineLevelRow="1" x14ac:dyDescent="0.2"/>
  <cols>
    <col min="1" max="1" width="1.7109375" style="98" bestFit="1" customWidth="1"/>
    <col min="2" max="2" width="18.140625" style="98" customWidth="1"/>
    <col min="3" max="3" width="12.28515625" style="98" bestFit="1" customWidth="1"/>
    <col min="4" max="4" width="8.42578125" style="98" bestFit="1" customWidth="1"/>
    <col min="5" max="5" width="11.42578125" style="98" bestFit="1" customWidth="1"/>
    <col min="6" max="16384" width="8.7109375" style="98"/>
  </cols>
  <sheetData>
    <row r="1" spans="1:5" x14ac:dyDescent="0.2">
      <c r="B1" s="99" t="s">
        <v>453</v>
      </c>
    </row>
    <row r="2" spans="1:5" x14ac:dyDescent="0.2">
      <c r="B2" s="100" t="s">
        <v>1</v>
      </c>
      <c r="C2" s="100" t="s">
        <v>454</v>
      </c>
      <c r="D2" s="100" t="s">
        <v>235</v>
      </c>
      <c r="E2" s="100" t="s">
        <v>455</v>
      </c>
    </row>
    <row r="3" spans="1:5" x14ac:dyDescent="0.2">
      <c r="B3" s="101" t="s">
        <v>456</v>
      </c>
      <c r="C3" s="101" t="s">
        <v>457</v>
      </c>
      <c r="D3" s="101" t="s">
        <v>243</v>
      </c>
      <c r="E3" s="101">
        <v>28</v>
      </c>
    </row>
    <row r="4" spans="1:5" x14ac:dyDescent="0.2">
      <c r="B4" s="101" t="s">
        <v>458</v>
      </c>
      <c r="C4" s="101" t="s">
        <v>459</v>
      </c>
      <c r="D4" s="101" t="s">
        <v>460</v>
      </c>
      <c r="E4" s="101">
        <v>8</v>
      </c>
    </row>
    <row r="5" spans="1:5" x14ac:dyDescent="0.2">
      <c r="B5" s="101" t="s">
        <v>461</v>
      </c>
      <c r="C5" s="101" t="s">
        <v>462</v>
      </c>
      <c r="D5" s="101" t="s">
        <v>243</v>
      </c>
      <c r="E5" s="101">
        <v>19</v>
      </c>
    </row>
    <row r="6" spans="1:5" x14ac:dyDescent="0.2">
      <c r="B6" s="101" t="s">
        <v>463</v>
      </c>
      <c r="C6" s="101" t="s">
        <v>464</v>
      </c>
      <c r="D6" s="101" t="s">
        <v>245</v>
      </c>
      <c r="E6" s="101">
        <v>2</v>
      </c>
    </row>
    <row r="7" spans="1:5" x14ac:dyDescent="0.2">
      <c r="B7" s="101" t="s">
        <v>465</v>
      </c>
      <c r="C7" s="101" t="s">
        <v>462</v>
      </c>
      <c r="D7" s="101" t="s">
        <v>249</v>
      </c>
      <c r="E7" s="101">
        <v>5</v>
      </c>
    </row>
    <row r="8" spans="1:5" x14ac:dyDescent="0.2">
      <c r="B8" s="101" t="s">
        <v>466</v>
      </c>
      <c r="C8" s="101" t="s">
        <v>459</v>
      </c>
      <c r="D8" s="101" t="s">
        <v>243</v>
      </c>
      <c r="E8" s="101">
        <v>9</v>
      </c>
    </row>
    <row r="9" spans="1:5" x14ac:dyDescent="0.2">
      <c r="B9" s="101" t="s">
        <v>467</v>
      </c>
      <c r="C9" s="101" t="s">
        <v>462</v>
      </c>
      <c r="D9" s="101" t="s">
        <v>468</v>
      </c>
      <c r="E9" s="101">
        <v>18</v>
      </c>
    </row>
    <row r="10" spans="1:5" x14ac:dyDescent="0.2">
      <c r="B10" s="101" t="s">
        <v>469</v>
      </c>
      <c r="C10" s="101" t="s">
        <v>457</v>
      </c>
      <c r="D10" s="101" t="s">
        <v>243</v>
      </c>
      <c r="E10" s="101">
        <v>11</v>
      </c>
    </row>
    <row r="11" spans="1:5" x14ac:dyDescent="0.2">
      <c r="B11" s="101" t="s">
        <v>470</v>
      </c>
      <c r="C11" s="101" t="s">
        <v>464</v>
      </c>
      <c r="D11" s="101" t="s">
        <v>471</v>
      </c>
      <c r="E11" s="101">
        <v>3</v>
      </c>
    </row>
    <row r="12" spans="1:5" x14ac:dyDescent="0.2">
      <c r="B12" s="101" t="s">
        <v>472</v>
      </c>
      <c r="C12" s="101" t="s">
        <v>459</v>
      </c>
      <c r="D12" s="101" t="s">
        <v>238</v>
      </c>
      <c r="E12" s="101">
        <v>15</v>
      </c>
    </row>
    <row r="14" spans="1:5" ht="15" x14ac:dyDescent="0.25">
      <c r="B14" s="102" t="s">
        <v>473</v>
      </c>
      <c r="E14" s="103" t="s">
        <v>474</v>
      </c>
    </row>
    <row r="16" spans="1:5" x14ac:dyDescent="0.2">
      <c r="A16" s="98">
        <v>1</v>
      </c>
      <c r="B16" s="104" t="s">
        <v>475</v>
      </c>
    </row>
    <row r="17" spans="1:11" x14ac:dyDescent="0.2">
      <c r="C17" s="105" t="s">
        <v>476</v>
      </c>
      <c r="D17" s="105"/>
    </row>
    <row r="18" spans="1:11" x14ac:dyDescent="0.2">
      <c r="B18" s="106" t="s">
        <v>111</v>
      </c>
      <c r="C18" s="107"/>
    </row>
    <row r="19" spans="1:11" hidden="1" outlineLevel="1" x14ac:dyDescent="0.2">
      <c r="B19" s="137"/>
      <c r="C19" s="137"/>
      <c r="D19" s="137"/>
      <c r="E19" s="137"/>
      <c r="F19" s="137"/>
      <c r="G19" s="137"/>
      <c r="H19" s="137"/>
      <c r="I19" s="137"/>
      <c r="J19" s="137"/>
      <c r="K19" s="137"/>
    </row>
    <row r="20" spans="1:11" hidden="1" outlineLevel="1" x14ac:dyDescent="0.2">
      <c r="B20" s="137"/>
      <c r="C20" s="137"/>
      <c r="D20" s="137"/>
      <c r="E20" s="137"/>
      <c r="F20" s="137"/>
      <c r="G20" s="137"/>
      <c r="H20" s="137"/>
      <c r="I20" s="137"/>
      <c r="J20" s="137"/>
      <c r="K20" s="137"/>
    </row>
    <row r="21" spans="1:11" hidden="1" outlineLevel="1" x14ac:dyDescent="0.2">
      <c r="B21" s="137"/>
      <c r="C21" s="137"/>
      <c r="D21" s="137"/>
      <c r="E21" s="137"/>
      <c r="F21" s="137"/>
      <c r="G21" s="137"/>
      <c r="H21" s="137"/>
      <c r="I21" s="137"/>
      <c r="J21" s="137"/>
      <c r="K21" s="137"/>
    </row>
    <row r="22" spans="1:11" hidden="1" outlineLevel="1" x14ac:dyDescent="0.2">
      <c r="B22" s="137"/>
      <c r="C22" s="137"/>
      <c r="D22" s="137"/>
      <c r="E22" s="137"/>
      <c r="F22" s="137"/>
      <c r="G22" s="137"/>
      <c r="H22" s="137"/>
      <c r="I22" s="137"/>
      <c r="J22" s="137"/>
      <c r="K22" s="137"/>
    </row>
    <row r="23" spans="1:11" hidden="1" outlineLevel="1" x14ac:dyDescent="0.2">
      <c r="B23" s="137"/>
      <c r="C23" s="137"/>
      <c r="D23" s="137"/>
      <c r="E23" s="137"/>
      <c r="F23" s="137"/>
      <c r="G23" s="137"/>
      <c r="H23" s="137"/>
      <c r="I23" s="137"/>
      <c r="J23" s="137"/>
      <c r="K23" s="137"/>
    </row>
    <row r="24" spans="1:11" hidden="1" outlineLevel="1" x14ac:dyDescent="0.2">
      <c r="B24" s="137"/>
      <c r="C24" s="137"/>
      <c r="D24" s="137"/>
      <c r="E24" s="137"/>
      <c r="F24" s="137"/>
      <c r="G24" s="137"/>
      <c r="H24" s="137"/>
      <c r="I24" s="137"/>
      <c r="J24" s="137"/>
      <c r="K24" s="137"/>
    </row>
    <row r="25" spans="1:11" hidden="1" outlineLevel="1" x14ac:dyDescent="0.2">
      <c r="B25" s="137"/>
      <c r="C25" s="137"/>
      <c r="D25" s="137"/>
      <c r="E25" s="137"/>
      <c r="F25" s="137"/>
      <c r="G25" s="137"/>
      <c r="H25" s="137"/>
      <c r="I25" s="137"/>
      <c r="J25" s="137"/>
      <c r="K25" s="137"/>
    </row>
    <row r="26" spans="1:11" collapsed="1" x14ac:dyDescent="0.2"/>
    <row r="27" spans="1:11" x14ac:dyDescent="0.2">
      <c r="A27" s="98">
        <v>2</v>
      </c>
      <c r="B27" s="104" t="s">
        <v>477</v>
      </c>
    </row>
    <row r="28" spans="1:11" x14ac:dyDescent="0.2">
      <c r="C28" s="105" t="s">
        <v>476</v>
      </c>
      <c r="D28" s="105"/>
    </row>
    <row r="29" spans="1:11" x14ac:dyDescent="0.2">
      <c r="B29" s="106" t="s">
        <v>111</v>
      </c>
      <c r="C29" s="107"/>
    </row>
    <row r="30" spans="1:11" hidden="1" outlineLevel="1" x14ac:dyDescent="0.2">
      <c r="B30" s="137"/>
      <c r="C30" s="137"/>
      <c r="D30" s="137"/>
      <c r="E30" s="137"/>
      <c r="F30" s="137"/>
      <c r="G30" s="137"/>
      <c r="H30" s="137"/>
      <c r="I30" s="137"/>
      <c r="J30" s="137"/>
      <c r="K30" s="137"/>
    </row>
    <row r="31" spans="1:11" hidden="1" outlineLevel="1" x14ac:dyDescent="0.2">
      <c r="B31" s="137"/>
      <c r="C31" s="137"/>
      <c r="D31" s="137"/>
      <c r="E31" s="137"/>
      <c r="F31" s="137"/>
      <c r="G31" s="137"/>
      <c r="H31" s="137"/>
      <c r="I31" s="137"/>
      <c r="J31" s="137"/>
      <c r="K31" s="137"/>
    </row>
    <row r="32" spans="1:11" hidden="1" outlineLevel="1" x14ac:dyDescent="0.2">
      <c r="B32" s="137"/>
      <c r="C32" s="137"/>
      <c r="D32" s="137"/>
      <c r="E32" s="137"/>
      <c r="F32" s="137"/>
      <c r="G32" s="137"/>
      <c r="H32" s="137"/>
      <c r="I32" s="137"/>
      <c r="J32" s="137"/>
      <c r="K32" s="137"/>
    </row>
    <row r="33" spans="1:11" hidden="1" outlineLevel="1" x14ac:dyDescent="0.2">
      <c r="B33" s="137"/>
      <c r="C33" s="137"/>
      <c r="D33" s="137"/>
      <c r="E33" s="137"/>
      <c r="F33" s="137"/>
      <c r="G33" s="137"/>
      <c r="H33" s="137"/>
      <c r="I33" s="137"/>
      <c r="J33" s="137"/>
      <c r="K33" s="137"/>
    </row>
    <row r="34" spans="1:11" hidden="1" outlineLevel="1" x14ac:dyDescent="0.2">
      <c r="B34" s="137"/>
      <c r="C34" s="137"/>
      <c r="D34" s="137"/>
      <c r="E34" s="137"/>
      <c r="F34" s="137"/>
      <c r="G34" s="137"/>
      <c r="H34" s="137"/>
      <c r="I34" s="137"/>
      <c r="J34" s="137"/>
      <c r="K34" s="137"/>
    </row>
    <row r="35" spans="1:11" hidden="1" outlineLevel="1" x14ac:dyDescent="0.2">
      <c r="B35" s="137"/>
      <c r="C35" s="137"/>
      <c r="D35" s="137"/>
      <c r="E35" s="137"/>
      <c r="F35" s="137"/>
      <c r="G35" s="137"/>
      <c r="H35" s="137"/>
      <c r="I35" s="137"/>
      <c r="J35" s="137"/>
      <c r="K35" s="137"/>
    </row>
    <row r="36" spans="1:11" hidden="1" outlineLevel="1" x14ac:dyDescent="0.2">
      <c r="B36" s="137"/>
      <c r="C36" s="137"/>
      <c r="D36" s="137"/>
      <c r="E36" s="137"/>
      <c r="F36" s="137"/>
      <c r="G36" s="137"/>
      <c r="H36" s="137"/>
      <c r="I36" s="137"/>
      <c r="J36" s="137"/>
      <c r="K36" s="137"/>
    </row>
    <row r="37" spans="1:11" collapsed="1" x14ac:dyDescent="0.2"/>
    <row r="38" spans="1:11" x14ac:dyDescent="0.2">
      <c r="A38" s="98">
        <v>2</v>
      </c>
      <c r="B38" s="104" t="s">
        <v>478</v>
      </c>
    </row>
    <row r="39" spans="1:11" x14ac:dyDescent="0.2">
      <c r="C39" s="105" t="s">
        <v>476</v>
      </c>
      <c r="D39" s="105"/>
    </row>
    <row r="40" spans="1:11" x14ac:dyDescent="0.2">
      <c r="B40" s="106" t="s">
        <v>111</v>
      </c>
      <c r="C40" s="107"/>
    </row>
    <row r="41" spans="1:11" hidden="1" outlineLevel="1" x14ac:dyDescent="0.2">
      <c r="B41" s="137"/>
      <c r="C41" s="137"/>
      <c r="D41" s="137"/>
      <c r="E41" s="137"/>
      <c r="F41" s="137"/>
      <c r="G41" s="137"/>
      <c r="H41" s="137"/>
      <c r="I41" s="137"/>
      <c r="J41" s="137"/>
      <c r="K41" s="137"/>
    </row>
    <row r="42" spans="1:11" hidden="1" outlineLevel="1" x14ac:dyDescent="0.2">
      <c r="B42" s="137"/>
      <c r="C42" s="137"/>
      <c r="D42" s="137"/>
      <c r="E42" s="137"/>
      <c r="F42" s="137"/>
      <c r="G42" s="137"/>
      <c r="H42" s="137"/>
      <c r="I42" s="137"/>
      <c r="J42" s="137"/>
      <c r="K42" s="137"/>
    </row>
    <row r="43" spans="1:11" hidden="1" outlineLevel="1" x14ac:dyDescent="0.2">
      <c r="B43" s="137"/>
      <c r="C43" s="137"/>
      <c r="D43" s="137"/>
      <c r="E43" s="137"/>
      <c r="F43" s="137"/>
      <c r="G43" s="137"/>
      <c r="H43" s="137"/>
      <c r="I43" s="137"/>
      <c r="J43" s="137"/>
      <c r="K43" s="137"/>
    </row>
    <row r="44" spans="1:11" hidden="1" outlineLevel="1" x14ac:dyDescent="0.2">
      <c r="B44" s="137"/>
      <c r="C44" s="137"/>
      <c r="D44" s="137"/>
      <c r="E44" s="137"/>
      <c r="F44" s="137"/>
      <c r="G44" s="137"/>
      <c r="H44" s="137"/>
      <c r="I44" s="137"/>
      <c r="J44" s="137"/>
      <c r="K44" s="137"/>
    </row>
    <row r="45" spans="1:11" hidden="1" outlineLevel="1" x14ac:dyDescent="0.2">
      <c r="B45" s="137"/>
      <c r="C45" s="137"/>
      <c r="D45" s="137"/>
      <c r="E45" s="137"/>
      <c r="F45" s="137"/>
      <c r="G45" s="137"/>
      <c r="H45" s="137"/>
      <c r="I45" s="137"/>
      <c r="J45" s="137"/>
      <c r="K45" s="137"/>
    </row>
    <row r="46" spans="1:11" hidden="1" outlineLevel="1" x14ac:dyDescent="0.2">
      <c r="B46" s="137"/>
      <c r="C46" s="137"/>
      <c r="D46" s="137"/>
      <c r="E46" s="137"/>
      <c r="F46" s="137"/>
      <c r="G46" s="137"/>
      <c r="H46" s="137"/>
      <c r="I46" s="137"/>
      <c r="J46" s="137"/>
      <c r="K46" s="137"/>
    </row>
    <row r="47" spans="1:11" hidden="1" outlineLevel="1" x14ac:dyDescent="0.2">
      <c r="B47" s="137"/>
      <c r="C47" s="137"/>
      <c r="D47" s="137"/>
      <c r="E47" s="137"/>
      <c r="F47" s="137"/>
      <c r="G47" s="137"/>
      <c r="H47" s="137"/>
      <c r="I47" s="137"/>
      <c r="J47" s="137"/>
      <c r="K47" s="137"/>
    </row>
    <row r="48" spans="1:11" collapsed="1" x14ac:dyDescent="0.2"/>
  </sheetData>
  <mergeCells count="3">
    <mergeCell ref="B19:K25"/>
    <mergeCell ref="B30:K36"/>
    <mergeCell ref="B41:K47"/>
  </mergeCells>
  <hyperlinks>
    <hyperlink ref="E14" location="'SUMIF2  Answers'!A1" display="'SUMIF2  Answers'!A1" xr:uid="{8D659BDD-83EB-44E5-8EDA-627A699341A4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3A2B-B172-4D53-87F2-DEFC2F6D4E48}">
  <sheetPr codeName="Sheet28"/>
  <dimension ref="A1:H27"/>
  <sheetViews>
    <sheetView workbookViewId="0">
      <selection activeCell="F1" sqref="F1"/>
    </sheetView>
  </sheetViews>
  <sheetFormatPr defaultRowHeight="15" x14ac:dyDescent="0.25"/>
  <cols>
    <col min="1" max="1" width="10.85546875" bestFit="1" customWidth="1"/>
    <col min="2" max="2" width="14" bestFit="1" customWidth="1"/>
    <col min="5" max="5" width="10.5703125" customWidth="1"/>
    <col min="7" max="7" width="11.5703125" customWidth="1"/>
    <col min="8" max="8" width="13.5703125" customWidth="1"/>
    <col min="9" max="9" width="15.5703125" customWidth="1"/>
    <col min="13" max="13" width="10.85546875" bestFit="1" customWidth="1"/>
  </cols>
  <sheetData>
    <row r="1" spans="1:8" x14ac:dyDescent="0.25">
      <c r="A1" t="s">
        <v>511</v>
      </c>
    </row>
    <row r="2" spans="1:8" x14ac:dyDescent="0.25">
      <c r="A2" t="s">
        <v>512</v>
      </c>
    </row>
    <row r="4" spans="1:8" x14ac:dyDescent="0.25">
      <c r="G4" s="96" t="s">
        <v>513</v>
      </c>
    </row>
    <row r="6" spans="1:8" ht="30" x14ac:dyDescent="0.25">
      <c r="G6" s="108" t="s">
        <v>237</v>
      </c>
      <c r="H6" s="108" t="s">
        <v>514</v>
      </c>
    </row>
    <row r="7" spans="1:8" x14ac:dyDescent="0.25">
      <c r="A7" s="96" t="s">
        <v>237</v>
      </c>
      <c r="B7" s="96" t="s">
        <v>514</v>
      </c>
      <c r="G7" s="109">
        <v>44197</v>
      </c>
      <c r="H7" s="110">
        <v>1.3671</v>
      </c>
    </row>
    <row r="8" spans="1:8" x14ac:dyDescent="0.25">
      <c r="A8" s="111">
        <v>44201</v>
      </c>
      <c r="B8" s="112">
        <f>VLOOKUP(A8,G6:H27,2,TRUE)</f>
        <v>1.3624000000000001</v>
      </c>
      <c r="G8" s="109">
        <v>44200</v>
      </c>
      <c r="H8" s="110">
        <v>1.3569</v>
      </c>
    </row>
    <row r="9" spans="1:8" x14ac:dyDescent="0.25">
      <c r="A9" s="111">
        <v>44211</v>
      </c>
      <c r="B9" s="112">
        <f>VLOOKUP(A9,G7:H28,2,TRUE)</f>
        <v>1.3586</v>
      </c>
      <c r="G9" s="109">
        <v>44201</v>
      </c>
      <c r="H9" s="110">
        <v>1.3624000000000001</v>
      </c>
    </row>
    <row r="10" spans="1:8" x14ac:dyDescent="0.25">
      <c r="A10" s="111">
        <v>44220</v>
      </c>
      <c r="B10" s="112">
        <f>VLOOKUP(A10,G8:H29,2,TRUE)</f>
        <v>1.3684000000000001</v>
      </c>
      <c r="G10" s="109">
        <v>44202</v>
      </c>
      <c r="H10" s="110">
        <v>1.3607</v>
      </c>
    </row>
    <row r="11" spans="1:8" x14ac:dyDescent="0.25">
      <c r="G11" s="109">
        <v>44203</v>
      </c>
      <c r="H11" s="110">
        <v>1.3563000000000001</v>
      </c>
    </row>
    <row r="12" spans="1:8" x14ac:dyDescent="0.25">
      <c r="G12" s="109">
        <v>44204</v>
      </c>
      <c r="H12" s="110">
        <v>1.3563000000000001</v>
      </c>
    </row>
    <row r="13" spans="1:8" x14ac:dyDescent="0.25">
      <c r="G13" s="109">
        <v>44207</v>
      </c>
      <c r="H13" s="110">
        <v>1.3513999999999999</v>
      </c>
    </row>
    <row r="14" spans="1:8" x14ac:dyDescent="0.25">
      <c r="G14" s="109">
        <v>44208</v>
      </c>
      <c r="H14" s="110">
        <v>1.3663000000000001</v>
      </c>
    </row>
    <row r="15" spans="1:8" x14ac:dyDescent="0.25">
      <c r="G15" s="109">
        <v>44209</v>
      </c>
      <c r="H15" s="110">
        <v>1.3636999999999999</v>
      </c>
    </row>
    <row r="16" spans="1:8" x14ac:dyDescent="0.25">
      <c r="G16" s="109">
        <v>44210</v>
      </c>
      <c r="H16" s="110">
        <v>1.3687</v>
      </c>
    </row>
    <row r="17" spans="7:8" x14ac:dyDescent="0.25">
      <c r="G17" s="109">
        <v>44211</v>
      </c>
      <c r="H17" s="110">
        <v>1.3586</v>
      </c>
    </row>
    <row r="18" spans="7:8" x14ac:dyDescent="0.25">
      <c r="G18" s="109">
        <v>44214</v>
      </c>
      <c r="H18" s="110">
        <v>1.3584000000000001</v>
      </c>
    </row>
    <row r="19" spans="7:8" x14ac:dyDescent="0.25">
      <c r="G19" s="109">
        <v>44215</v>
      </c>
      <c r="H19" s="110">
        <v>1.3628</v>
      </c>
    </row>
    <row r="20" spans="7:8" x14ac:dyDescent="0.25">
      <c r="G20" s="109">
        <v>44216</v>
      </c>
      <c r="H20" s="110">
        <v>1.3653</v>
      </c>
    </row>
    <row r="21" spans="7:8" x14ac:dyDescent="0.25">
      <c r="G21" s="109">
        <v>44217</v>
      </c>
      <c r="H21" s="110">
        <v>1.3732</v>
      </c>
    </row>
    <row r="22" spans="7:8" x14ac:dyDescent="0.25">
      <c r="G22" s="109">
        <v>44218</v>
      </c>
      <c r="H22" s="110">
        <v>1.3684000000000001</v>
      </c>
    </row>
    <row r="23" spans="7:8" x14ac:dyDescent="0.25">
      <c r="G23" s="109">
        <v>44221</v>
      </c>
      <c r="H23" s="110">
        <v>1.3673999999999999</v>
      </c>
    </row>
    <row r="24" spans="7:8" x14ac:dyDescent="0.25">
      <c r="G24" s="109">
        <v>44222</v>
      </c>
      <c r="H24" s="110">
        <v>1.3733</v>
      </c>
    </row>
    <row r="25" spans="7:8" x14ac:dyDescent="0.25">
      <c r="G25" s="109">
        <v>44223</v>
      </c>
      <c r="H25" s="110">
        <v>1.3686</v>
      </c>
    </row>
    <row r="26" spans="7:8" x14ac:dyDescent="0.25">
      <c r="G26" s="109">
        <v>44224</v>
      </c>
      <c r="H26" s="110">
        <v>1.3717999999999999</v>
      </c>
    </row>
    <row r="27" spans="7:8" x14ac:dyDescent="0.25">
      <c r="G27" s="109">
        <v>44225</v>
      </c>
      <c r="H27" s="110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07E0-3159-4A8F-B974-A867AE9D1D22}">
  <sheetPr codeName="Sheet29"/>
  <dimension ref="A1:I37"/>
  <sheetViews>
    <sheetView workbookViewId="0">
      <selection activeCell="C16" sqref="C16"/>
    </sheetView>
  </sheetViews>
  <sheetFormatPr defaultColWidth="14.42578125" defaultRowHeight="15" x14ac:dyDescent="0.25"/>
  <cols>
    <col min="1" max="1" width="2" style="1" bestFit="1" customWidth="1"/>
    <col min="2" max="2" width="16.42578125" style="1" customWidth="1"/>
    <col min="3" max="3" width="20.5703125" style="1" customWidth="1"/>
    <col min="4" max="16384" width="14.42578125" style="1"/>
  </cols>
  <sheetData>
    <row r="1" spans="1:9" x14ac:dyDescent="0.25">
      <c r="A1" s="113"/>
      <c r="B1" s="138" t="s">
        <v>515</v>
      </c>
      <c r="C1" s="130"/>
      <c r="D1" s="130"/>
      <c r="E1" s="130"/>
      <c r="F1" s="114"/>
      <c r="G1" s="114"/>
      <c r="H1" s="114"/>
      <c r="I1" s="114"/>
    </row>
    <row r="2" spans="1:9" x14ac:dyDescent="0.25">
      <c r="A2" s="113"/>
      <c r="B2" s="114"/>
      <c r="C2" s="114"/>
      <c r="D2" s="114"/>
      <c r="E2" s="114"/>
      <c r="F2" s="114"/>
      <c r="G2" s="114"/>
      <c r="H2" s="114"/>
      <c r="I2" s="114"/>
    </row>
    <row r="3" spans="1:9" x14ac:dyDescent="0.25">
      <c r="A3" s="113"/>
      <c r="B3" s="115" t="s">
        <v>90</v>
      </c>
      <c r="C3" s="116" t="s">
        <v>1</v>
      </c>
      <c r="D3" s="116" t="s">
        <v>516</v>
      </c>
      <c r="E3" s="116" t="s">
        <v>107</v>
      </c>
      <c r="F3" s="116" t="s">
        <v>145</v>
      </c>
      <c r="G3" s="114"/>
      <c r="H3" s="114"/>
      <c r="I3" s="114"/>
    </row>
    <row r="4" spans="1:9" x14ac:dyDescent="0.25">
      <c r="A4" s="113"/>
      <c r="B4" s="117">
        <v>56815</v>
      </c>
      <c r="C4" s="118" t="s">
        <v>517</v>
      </c>
      <c r="D4" s="118" t="s">
        <v>518</v>
      </c>
      <c r="E4" s="119">
        <v>13836</v>
      </c>
      <c r="F4" s="119">
        <v>25</v>
      </c>
      <c r="G4" s="114"/>
      <c r="H4" s="114"/>
      <c r="I4" s="114"/>
    </row>
    <row r="5" spans="1:9" x14ac:dyDescent="0.25">
      <c r="A5" s="113"/>
      <c r="B5" s="117">
        <v>51186</v>
      </c>
      <c r="C5" s="118" t="s">
        <v>519</v>
      </c>
      <c r="D5" s="118" t="s">
        <v>244</v>
      </c>
      <c r="E5" s="119">
        <v>11771</v>
      </c>
      <c r="F5" s="119">
        <v>32</v>
      </c>
      <c r="G5" s="114"/>
      <c r="H5" s="114"/>
      <c r="I5" s="114"/>
    </row>
    <row r="6" spans="1:9" x14ac:dyDescent="0.25">
      <c r="A6" s="113"/>
      <c r="B6" s="117">
        <v>51511</v>
      </c>
      <c r="C6" s="118" t="s">
        <v>520</v>
      </c>
      <c r="D6" s="118" t="s">
        <v>239</v>
      </c>
      <c r="E6" s="119">
        <v>13046</v>
      </c>
      <c r="F6" s="119">
        <v>35</v>
      </c>
      <c r="G6" s="114"/>
      <c r="H6" s="114"/>
      <c r="I6" s="114"/>
    </row>
    <row r="7" spans="1:9" x14ac:dyDescent="0.25">
      <c r="A7" s="113"/>
      <c r="B7" s="117">
        <v>50890</v>
      </c>
      <c r="C7" s="118" t="s">
        <v>521</v>
      </c>
      <c r="D7" s="118" t="s">
        <v>248</v>
      </c>
      <c r="E7" s="119">
        <v>18276</v>
      </c>
      <c r="F7" s="119">
        <v>32</v>
      </c>
      <c r="G7" s="114"/>
      <c r="H7" s="114"/>
      <c r="I7" s="114"/>
    </row>
    <row r="8" spans="1:9" x14ac:dyDescent="0.25">
      <c r="A8" s="113"/>
      <c r="B8" s="117">
        <v>53700</v>
      </c>
      <c r="C8" s="118" t="s">
        <v>522</v>
      </c>
      <c r="D8" s="118" t="s">
        <v>247</v>
      </c>
      <c r="E8" s="119">
        <v>19327</v>
      </c>
      <c r="F8" s="119">
        <v>26</v>
      </c>
      <c r="G8" s="114"/>
      <c r="H8" s="114"/>
      <c r="I8" s="114"/>
    </row>
    <row r="9" spans="1:9" x14ac:dyDescent="0.25">
      <c r="A9" s="113"/>
      <c r="B9" s="117">
        <v>55879</v>
      </c>
      <c r="C9" s="118" t="s">
        <v>523</v>
      </c>
      <c r="D9" s="118" t="s">
        <v>242</v>
      </c>
      <c r="E9" s="119">
        <v>18996</v>
      </c>
      <c r="F9" s="119">
        <v>35</v>
      </c>
      <c r="G9" s="114"/>
      <c r="H9" s="114"/>
      <c r="I9" s="114"/>
    </row>
    <row r="10" spans="1:9" x14ac:dyDescent="0.25">
      <c r="A10" s="113"/>
      <c r="B10" s="117">
        <v>59848</v>
      </c>
      <c r="C10" s="118" t="s">
        <v>524</v>
      </c>
      <c r="D10" s="118" t="s">
        <v>239</v>
      </c>
      <c r="E10" s="119">
        <v>10387</v>
      </c>
      <c r="F10" s="119">
        <v>25</v>
      </c>
      <c r="G10" s="114"/>
      <c r="H10" s="114"/>
      <c r="I10" s="114"/>
    </row>
    <row r="11" spans="1:9" x14ac:dyDescent="0.25">
      <c r="A11" s="113"/>
      <c r="B11" s="117">
        <v>58369</v>
      </c>
      <c r="C11" s="118" t="s">
        <v>250</v>
      </c>
      <c r="D11" s="118" t="s">
        <v>242</v>
      </c>
      <c r="E11" s="119">
        <v>12566</v>
      </c>
      <c r="F11" s="119">
        <v>37</v>
      </c>
      <c r="G11" s="114"/>
      <c r="H11" s="114"/>
      <c r="I11" s="114"/>
    </row>
    <row r="12" spans="1:9" x14ac:dyDescent="0.25">
      <c r="A12" s="113"/>
      <c r="B12" s="117">
        <v>50217</v>
      </c>
      <c r="C12" s="118" t="s">
        <v>525</v>
      </c>
      <c r="D12" s="118" t="s">
        <v>246</v>
      </c>
      <c r="E12" s="119">
        <v>16406</v>
      </c>
      <c r="F12" s="119">
        <v>42</v>
      </c>
      <c r="G12" s="114"/>
      <c r="H12" s="114"/>
      <c r="I12" s="114"/>
    </row>
    <row r="13" spans="1:9" x14ac:dyDescent="0.25">
      <c r="A13" s="113"/>
      <c r="B13" s="117">
        <v>50695</v>
      </c>
      <c r="C13" s="118" t="s">
        <v>526</v>
      </c>
      <c r="D13" s="118" t="s">
        <v>248</v>
      </c>
      <c r="E13" s="119">
        <v>15784</v>
      </c>
      <c r="F13" s="119">
        <v>43</v>
      </c>
      <c r="G13" s="114"/>
      <c r="H13" s="114"/>
      <c r="I13" s="114"/>
    </row>
    <row r="14" spans="1:9" x14ac:dyDescent="0.25">
      <c r="A14" s="113"/>
      <c r="B14" s="117">
        <v>59673</v>
      </c>
      <c r="C14" s="118" t="s">
        <v>527</v>
      </c>
      <c r="D14" s="118" t="s">
        <v>518</v>
      </c>
      <c r="E14" s="119">
        <v>10959</v>
      </c>
      <c r="F14" s="119">
        <v>30</v>
      </c>
      <c r="G14" s="114"/>
      <c r="H14" s="114"/>
      <c r="I14" s="114"/>
    </row>
    <row r="15" spans="1:9" x14ac:dyDescent="0.25">
      <c r="A15" s="113"/>
      <c r="B15" s="117">
        <v>52130</v>
      </c>
      <c r="C15" s="118" t="s">
        <v>528</v>
      </c>
      <c r="D15" s="118" t="s">
        <v>240</v>
      </c>
      <c r="E15" s="119">
        <v>14562</v>
      </c>
      <c r="F15" s="119">
        <v>32</v>
      </c>
      <c r="G15" s="114"/>
      <c r="H15" s="114"/>
      <c r="I15" s="114"/>
    </row>
    <row r="16" spans="1:9" x14ac:dyDescent="0.25">
      <c r="A16" s="113"/>
      <c r="B16" s="114"/>
      <c r="C16" s="114"/>
      <c r="D16" s="114"/>
      <c r="E16" s="114"/>
      <c r="F16" s="114"/>
      <c r="G16" s="114"/>
      <c r="H16" s="114"/>
      <c r="I16" s="114"/>
    </row>
    <row r="17" spans="1:9" x14ac:dyDescent="0.25">
      <c r="A17" s="120">
        <v>1</v>
      </c>
      <c r="B17" s="114" t="s">
        <v>529</v>
      </c>
      <c r="E17" s="121" t="str">
        <f>VLOOKUP(58369,B3:C15,2,FALSE)</f>
        <v>Thomas Davies</v>
      </c>
      <c r="F17" s="114"/>
      <c r="G17" s="114"/>
      <c r="H17" s="114"/>
      <c r="I17" s="114"/>
    </row>
    <row r="18" spans="1:9" x14ac:dyDescent="0.25">
      <c r="A18" s="113"/>
      <c r="B18" s="114"/>
      <c r="C18" s="114"/>
      <c r="D18" s="114"/>
      <c r="E18" s="114"/>
      <c r="F18" s="114"/>
      <c r="G18" s="114"/>
      <c r="H18" s="114"/>
      <c r="I18" s="114"/>
    </row>
    <row r="19" spans="1:9" x14ac:dyDescent="0.25">
      <c r="A19" s="120">
        <v>2</v>
      </c>
      <c r="B19" s="114" t="s">
        <v>530</v>
      </c>
      <c r="D19" s="114"/>
      <c r="E19" s="121">
        <f>VLOOKUP("Estelle Cormack",C3:F15,4,FALSE)</f>
        <v>30</v>
      </c>
      <c r="F19" s="114"/>
      <c r="G19" s="114"/>
      <c r="H19" s="114"/>
      <c r="I19" s="114"/>
    </row>
    <row r="20" spans="1:9" x14ac:dyDescent="0.25">
      <c r="A20" s="113"/>
      <c r="B20" s="114"/>
      <c r="C20" s="114"/>
      <c r="D20" s="114"/>
      <c r="E20" s="114"/>
      <c r="F20" s="114"/>
      <c r="G20" s="114"/>
      <c r="H20" s="114"/>
      <c r="I20" s="114"/>
    </row>
    <row r="21" spans="1:9" x14ac:dyDescent="0.25">
      <c r="A21" s="120">
        <v>3</v>
      </c>
      <c r="B21" s="139" t="s">
        <v>531</v>
      </c>
      <c r="C21" s="130"/>
      <c r="D21" s="130"/>
      <c r="E21" s="114"/>
      <c r="F21" s="114"/>
      <c r="G21" s="114"/>
      <c r="H21" s="114"/>
      <c r="I21" s="114"/>
    </row>
    <row r="22" spans="1:9" x14ac:dyDescent="0.25">
      <c r="A22" s="113"/>
      <c r="B22" s="114"/>
      <c r="C22" s="114"/>
      <c r="D22" s="114"/>
      <c r="E22" s="114"/>
      <c r="F22" s="114"/>
      <c r="G22" s="114"/>
      <c r="H22" s="114"/>
      <c r="I22" s="114"/>
    </row>
    <row r="23" spans="1:9" x14ac:dyDescent="0.25">
      <c r="A23" s="113"/>
      <c r="B23" s="122" t="s">
        <v>90</v>
      </c>
      <c r="C23" s="123" t="s">
        <v>516</v>
      </c>
      <c r="D23" s="114"/>
      <c r="E23" s="114"/>
      <c r="F23" s="114"/>
      <c r="G23" s="114"/>
      <c r="H23" s="114"/>
      <c r="I23" s="114"/>
    </row>
    <row r="24" spans="1:9" x14ac:dyDescent="0.25">
      <c r="A24" s="113"/>
      <c r="B24" s="117">
        <v>55879</v>
      </c>
      <c r="C24" s="124" t="str">
        <f>VLOOKUP(B24,B3:F15,3,FALSE)</f>
        <v>Capetown</v>
      </c>
      <c r="D24" s="114"/>
      <c r="E24" s="114"/>
      <c r="F24" s="114"/>
      <c r="G24" s="114"/>
      <c r="H24" s="114"/>
      <c r="I24" s="114"/>
    </row>
    <row r="25" spans="1:9" x14ac:dyDescent="0.25">
      <c r="A25" s="113"/>
      <c r="B25" s="117">
        <v>50217</v>
      </c>
      <c r="C25" s="124" t="str">
        <f>VLOOKUP(B25,B4:F16,3,FALSE)</f>
        <v>Warsaw</v>
      </c>
      <c r="D25" s="114"/>
      <c r="E25" s="114"/>
      <c r="F25" s="114"/>
      <c r="G25" s="114"/>
      <c r="H25" s="114"/>
      <c r="I25" s="114"/>
    </row>
    <row r="26" spans="1:9" x14ac:dyDescent="0.25">
      <c r="A26" s="113"/>
      <c r="B26" s="117">
        <v>50695</v>
      </c>
      <c r="C26" s="124" t="str">
        <f>VLOOKUP(B26,B5:F17,3,FALSE)</f>
        <v>Cairo</v>
      </c>
      <c r="D26" s="114"/>
      <c r="E26" s="114"/>
      <c r="F26" s="114"/>
      <c r="G26" s="114"/>
      <c r="H26" s="114"/>
      <c r="I26" s="114"/>
    </row>
    <row r="27" spans="1:9" x14ac:dyDescent="0.25">
      <c r="A27" s="113"/>
      <c r="B27" s="114"/>
      <c r="C27" s="114"/>
      <c r="D27" s="114"/>
      <c r="E27" s="114"/>
      <c r="F27" s="114"/>
      <c r="G27" s="114"/>
      <c r="H27" s="114"/>
      <c r="I27" s="114"/>
    </row>
    <row r="28" spans="1:9" x14ac:dyDescent="0.25">
      <c r="A28" s="120">
        <v>4</v>
      </c>
      <c r="B28" s="139" t="s">
        <v>532</v>
      </c>
      <c r="C28" s="130"/>
      <c r="D28" s="130"/>
      <c r="E28" s="114"/>
      <c r="F28" s="114"/>
      <c r="G28" s="114"/>
      <c r="H28" s="114"/>
      <c r="I28" s="114"/>
    </row>
    <row r="29" spans="1:9" x14ac:dyDescent="0.25">
      <c r="A29" s="113"/>
      <c r="B29" s="114"/>
      <c r="C29" s="114"/>
      <c r="D29" s="114"/>
      <c r="E29" s="114"/>
      <c r="F29" s="114"/>
      <c r="G29" s="114"/>
      <c r="H29" s="114"/>
      <c r="I29" s="114"/>
    </row>
    <row r="30" spans="1:9" x14ac:dyDescent="0.25">
      <c r="A30" s="113"/>
      <c r="B30" s="122" t="s">
        <v>1</v>
      </c>
      <c r="C30" s="123" t="s">
        <v>107</v>
      </c>
      <c r="D30" s="114"/>
      <c r="E30" s="114"/>
      <c r="F30" s="114"/>
      <c r="G30" s="114"/>
      <c r="H30" s="114"/>
      <c r="I30" s="114"/>
    </row>
    <row r="31" spans="1:9" x14ac:dyDescent="0.25">
      <c r="A31" s="113"/>
      <c r="B31" s="125" t="s">
        <v>521</v>
      </c>
      <c r="C31" s="124">
        <f>VLOOKUP(B31,C3:E15,3,FALSE)</f>
        <v>18276</v>
      </c>
      <c r="D31" s="114"/>
      <c r="E31" s="114"/>
      <c r="F31" s="114"/>
      <c r="G31" s="114"/>
      <c r="H31" s="114"/>
      <c r="I31" s="114"/>
    </row>
    <row r="32" spans="1:9" x14ac:dyDescent="0.25">
      <c r="A32" s="113"/>
      <c r="B32" s="125" t="s">
        <v>533</v>
      </c>
      <c r="C32" s="124" t="e">
        <f>VLOOKUP(B32,C4:E16,3,FALSE)</f>
        <v>#N/A</v>
      </c>
      <c r="D32" s="114"/>
      <c r="E32" s="114"/>
      <c r="F32" s="114"/>
      <c r="G32" s="114"/>
      <c r="H32" s="114"/>
      <c r="I32" s="114"/>
    </row>
    <row r="33" spans="1:9" x14ac:dyDescent="0.25">
      <c r="A33" s="113"/>
      <c r="B33" s="125" t="s">
        <v>527</v>
      </c>
      <c r="C33" s="124">
        <f>VLOOKUP(B33,C5:E17,3,FALSE)</f>
        <v>10959</v>
      </c>
      <c r="D33" s="114"/>
      <c r="E33" s="114"/>
      <c r="F33" s="114"/>
      <c r="G33" s="114"/>
      <c r="H33" s="114"/>
      <c r="I33" s="114"/>
    </row>
    <row r="34" spans="1:9" x14ac:dyDescent="0.25">
      <c r="A34" s="113"/>
      <c r="B34" s="114"/>
      <c r="C34" s="114"/>
      <c r="D34" s="114"/>
      <c r="E34" s="114"/>
      <c r="F34" s="114"/>
      <c r="G34" s="114"/>
      <c r="H34" s="114"/>
      <c r="I34" s="114"/>
    </row>
    <row r="35" spans="1:9" x14ac:dyDescent="0.25">
      <c r="A35" s="113"/>
      <c r="B35" s="114"/>
      <c r="C35" s="114"/>
      <c r="D35" s="114"/>
      <c r="E35" s="114"/>
      <c r="F35" s="114"/>
      <c r="G35" s="114"/>
      <c r="H35" s="114"/>
      <c r="I35" s="114"/>
    </row>
    <row r="36" spans="1:9" x14ac:dyDescent="0.25">
      <c r="A36" s="113"/>
      <c r="B36" s="114"/>
      <c r="C36" s="114"/>
      <c r="D36" s="114"/>
      <c r="E36" s="114"/>
      <c r="F36" s="114"/>
      <c r="G36" s="114"/>
      <c r="H36" s="114"/>
      <c r="I36" s="114"/>
    </row>
    <row r="37" spans="1:9" x14ac:dyDescent="0.25">
      <c r="A37" s="113"/>
      <c r="B37" s="114"/>
      <c r="C37" s="114"/>
      <c r="D37" s="114"/>
      <c r="E37" s="114"/>
      <c r="F37" s="114"/>
      <c r="G37" s="114"/>
      <c r="H37" s="114"/>
      <c r="I37" s="114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AC69-471F-43F4-A9D0-4BBABD65756E}">
  <sheetPr codeName="Sheet30">
    <tabColor rgb="FFFF0000"/>
  </sheetPr>
  <dimension ref="A1:K49"/>
  <sheetViews>
    <sheetView showGridLines="0" zoomScale="142" zoomScaleNormal="142" workbookViewId="0">
      <selection activeCell="E18" sqref="E18"/>
    </sheetView>
  </sheetViews>
  <sheetFormatPr defaultColWidth="8.7109375" defaultRowHeight="12.75" outlineLevelRow="1" x14ac:dyDescent="0.2"/>
  <cols>
    <col min="1" max="1" width="2.5703125" style="126" bestFit="1" customWidth="1"/>
    <col min="2" max="2" width="15.7109375" style="126" bestFit="1" customWidth="1"/>
    <col min="3" max="3" width="12.28515625" style="126" bestFit="1" customWidth="1"/>
    <col min="4" max="4" width="8.42578125" style="126" bestFit="1" customWidth="1"/>
    <col min="5" max="5" width="11.42578125" style="126" bestFit="1" customWidth="1"/>
    <col min="6" max="16384" width="8.7109375" style="126"/>
  </cols>
  <sheetData>
    <row r="1" spans="2:7" x14ac:dyDescent="0.2">
      <c r="B1" s="106" t="s">
        <v>534</v>
      </c>
    </row>
    <row r="2" spans="2:7" x14ac:dyDescent="0.2">
      <c r="B2" s="127" t="s">
        <v>1</v>
      </c>
      <c r="C2" s="127" t="s">
        <v>145</v>
      </c>
      <c r="D2" s="127" t="s">
        <v>535</v>
      </c>
      <c r="E2" s="127" t="s">
        <v>536</v>
      </c>
    </row>
    <row r="3" spans="2:7" x14ac:dyDescent="0.2">
      <c r="B3" s="141" t="s">
        <v>537</v>
      </c>
      <c r="C3" s="141">
        <v>35</v>
      </c>
      <c r="D3" s="141" t="s">
        <v>538</v>
      </c>
      <c r="E3" s="141" t="s">
        <v>539</v>
      </c>
    </row>
    <row r="4" spans="2:7" x14ac:dyDescent="0.2">
      <c r="B4" s="141" t="s">
        <v>540</v>
      </c>
      <c r="C4" s="141">
        <v>42</v>
      </c>
      <c r="D4" s="141" t="s">
        <v>541</v>
      </c>
      <c r="E4" s="141" t="s">
        <v>542</v>
      </c>
    </row>
    <row r="5" spans="2:7" x14ac:dyDescent="0.2">
      <c r="B5" s="141" t="s">
        <v>94</v>
      </c>
      <c r="C5" s="141">
        <v>28</v>
      </c>
      <c r="D5" s="141" t="s">
        <v>538</v>
      </c>
      <c r="E5" s="141" t="s">
        <v>543</v>
      </c>
    </row>
    <row r="6" spans="2:7" x14ac:dyDescent="0.2">
      <c r="B6" s="141" t="s">
        <v>544</v>
      </c>
      <c r="C6" s="141">
        <v>25</v>
      </c>
      <c r="D6" s="141" t="s">
        <v>541</v>
      </c>
      <c r="E6" s="141" t="s">
        <v>103</v>
      </c>
    </row>
    <row r="7" spans="2:7" x14ac:dyDescent="0.2">
      <c r="B7" s="141" t="s">
        <v>545</v>
      </c>
      <c r="C7" s="141">
        <v>31</v>
      </c>
      <c r="D7" s="141" t="s">
        <v>538</v>
      </c>
      <c r="E7" s="141" t="s">
        <v>104</v>
      </c>
    </row>
    <row r="8" spans="2:7" x14ac:dyDescent="0.2">
      <c r="B8" s="141" t="s">
        <v>546</v>
      </c>
      <c r="C8" s="141">
        <v>27</v>
      </c>
      <c r="D8" s="141" t="s">
        <v>541</v>
      </c>
      <c r="E8" s="141" t="s">
        <v>547</v>
      </c>
    </row>
    <row r="9" spans="2:7" x14ac:dyDescent="0.2">
      <c r="B9" s="141" t="s">
        <v>548</v>
      </c>
      <c r="C9" s="141">
        <v>38</v>
      </c>
      <c r="D9" s="141" t="s">
        <v>538</v>
      </c>
      <c r="E9" s="141" t="s">
        <v>549</v>
      </c>
    </row>
    <row r="10" spans="2:7" x14ac:dyDescent="0.2">
      <c r="B10" s="141" t="s">
        <v>550</v>
      </c>
      <c r="C10" s="141">
        <v>29</v>
      </c>
      <c r="D10" s="141" t="s">
        <v>541</v>
      </c>
      <c r="E10" s="141" t="s">
        <v>551</v>
      </c>
    </row>
    <row r="11" spans="2:7" x14ac:dyDescent="0.2">
      <c r="B11" s="141" t="s">
        <v>552</v>
      </c>
      <c r="C11" s="141">
        <v>45</v>
      </c>
      <c r="D11" s="141" t="s">
        <v>538</v>
      </c>
      <c r="E11" s="141" t="s">
        <v>553</v>
      </c>
    </row>
    <row r="12" spans="2:7" x14ac:dyDescent="0.2">
      <c r="B12" s="141" t="s">
        <v>554</v>
      </c>
      <c r="C12" s="141">
        <v>33</v>
      </c>
      <c r="D12" s="141" t="s">
        <v>541</v>
      </c>
      <c r="E12" s="141" t="s">
        <v>555</v>
      </c>
    </row>
    <row r="15" spans="2:7" x14ac:dyDescent="0.2">
      <c r="B15" s="128" t="s">
        <v>473</v>
      </c>
    </row>
    <row r="16" spans="2:7" x14ac:dyDescent="0.2">
      <c r="G16" s="126" t="s">
        <v>556</v>
      </c>
    </row>
    <row r="17" spans="1:11" x14ac:dyDescent="0.2">
      <c r="A17" s="126">
        <v>1</v>
      </c>
      <c r="B17" s="126" t="s">
        <v>557</v>
      </c>
    </row>
    <row r="18" spans="1:11" x14ac:dyDescent="0.2">
      <c r="C18" s="105" t="s">
        <v>476</v>
      </c>
      <c r="D18" s="105"/>
    </row>
    <row r="19" spans="1:11" x14ac:dyDescent="0.2">
      <c r="B19" s="106" t="s">
        <v>111</v>
      </c>
      <c r="C19" s="107" t="str">
        <f>VLOOKUP(B4,B2:E12,4,FALSE)</f>
        <v>Data Scientist</v>
      </c>
    </row>
    <row r="20" spans="1:11" hidden="1" outlineLevel="1" x14ac:dyDescent="0.2">
      <c r="B20" s="140"/>
      <c r="C20" s="140"/>
      <c r="D20" s="140"/>
      <c r="E20" s="140"/>
      <c r="F20" s="140"/>
      <c r="G20" s="140"/>
      <c r="H20" s="140"/>
      <c r="I20" s="140"/>
      <c r="J20" s="140"/>
      <c r="K20" s="140"/>
    </row>
    <row r="21" spans="1:11" hidden="1" outlineLevel="1" x14ac:dyDescent="0.2">
      <c r="B21" s="140"/>
      <c r="C21" s="140"/>
      <c r="D21" s="140"/>
      <c r="E21" s="140"/>
      <c r="F21" s="140"/>
      <c r="G21" s="140"/>
      <c r="H21" s="140"/>
      <c r="I21" s="140"/>
      <c r="J21" s="140"/>
      <c r="K21" s="140"/>
    </row>
    <row r="22" spans="1:11" hidden="1" outlineLevel="1" x14ac:dyDescent="0.2">
      <c r="B22" s="140"/>
      <c r="C22" s="140"/>
      <c r="D22" s="140"/>
      <c r="E22" s="140"/>
      <c r="F22" s="140"/>
      <c r="G22" s="140"/>
      <c r="H22" s="140"/>
      <c r="I22" s="140"/>
      <c r="J22" s="140"/>
      <c r="K22" s="140"/>
    </row>
    <row r="23" spans="1:11" hidden="1" outlineLevel="1" x14ac:dyDescent="0.2">
      <c r="B23" s="140"/>
      <c r="C23" s="140"/>
      <c r="D23" s="140"/>
      <c r="E23" s="140"/>
      <c r="F23" s="140"/>
      <c r="G23" s="140"/>
      <c r="H23" s="140"/>
      <c r="I23" s="140"/>
      <c r="J23" s="140"/>
      <c r="K23" s="140"/>
    </row>
    <row r="24" spans="1:11" hidden="1" outlineLevel="1" x14ac:dyDescent="0.2">
      <c r="B24" s="140"/>
      <c r="C24" s="140"/>
      <c r="D24" s="140"/>
      <c r="E24" s="140"/>
      <c r="F24" s="140"/>
      <c r="G24" s="140"/>
      <c r="H24" s="140"/>
      <c r="I24" s="140"/>
      <c r="J24" s="140"/>
      <c r="K24" s="140"/>
    </row>
    <row r="25" spans="1:11" hidden="1" outlineLevel="1" x14ac:dyDescent="0.2">
      <c r="B25" s="140"/>
      <c r="C25" s="140"/>
      <c r="D25" s="140"/>
      <c r="E25" s="140"/>
      <c r="F25" s="140"/>
      <c r="G25" s="140"/>
      <c r="H25" s="140"/>
      <c r="I25" s="140"/>
      <c r="J25" s="140"/>
      <c r="K25" s="140"/>
    </row>
    <row r="26" spans="1:11" hidden="1" outlineLevel="1" x14ac:dyDescent="0.2"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spans="1:11" collapsed="1" x14ac:dyDescent="0.2"/>
    <row r="28" spans="1:11" x14ac:dyDescent="0.2">
      <c r="A28" s="126">
        <v>2</v>
      </c>
      <c r="B28" s="126" t="s">
        <v>558</v>
      </c>
    </row>
    <row r="29" spans="1:11" x14ac:dyDescent="0.2">
      <c r="C29" s="105" t="s">
        <v>476</v>
      </c>
      <c r="D29" s="105"/>
    </row>
    <row r="30" spans="1:11" x14ac:dyDescent="0.2">
      <c r="B30" s="106" t="s">
        <v>111</v>
      </c>
      <c r="C30" s="107">
        <f>VLOOKUP(B11,B2:C12,2,FALSE)</f>
        <v>45</v>
      </c>
    </row>
    <row r="31" spans="1:11" hidden="1" outlineLevel="1" x14ac:dyDescent="0.2">
      <c r="B31" s="140"/>
      <c r="C31" s="140"/>
      <c r="D31" s="140"/>
      <c r="E31" s="140"/>
      <c r="F31" s="140"/>
      <c r="G31" s="140"/>
      <c r="H31" s="140"/>
      <c r="I31" s="140"/>
      <c r="J31" s="140"/>
      <c r="K31" s="140"/>
    </row>
    <row r="32" spans="1:11" hidden="1" outlineLevel="1" x14ac:dyDescent="0.2">
      <c r="B32" s="140"/>
      <c r="C32" s="140"/>
      <c r="D32" s="140"/>
      <c r="E32" s="140"/>
      <c r="F32" s="140"/>
      <c r="G32" s="140"/>
      <c r="H32" s="140"/>
      <c r="I32" s="140"/>
      <c r="J32" s="140"/>
      <c r="K32" s="140"/>
    </row>
    <row r="33" spans="1:11" hidden="1" outlineLevel="1" x14ac:dyDescent="0.2">
      <c r="B33" s="140"/>
      <c r="C33" s="140"/>
      <c r="D33" s="140"/>
      <c r="E33" s="140"/>
      <c r="F33" s="140"/>
      <c r="G33" s="140"/>
      <c r="H33" s="140"/>
      <c r="I33" s="140"/>
      <c r="J33" s="140"/>
      <c r="K33" s="140"/>
    </row>
    <row r="34" spans="1:11" hidden="1" outlineLevel="1" x14ac:dyDescent="0.2">
      <c r="B34" s="140"/>
      <c r="C34" s="140"/>
      <c r="D34" s="140"/>
      <c r="E34" s="140"/>
      <c r="F34" s="140"/>
      <c r="G34" s="140"/>
      <c r="H34" s="140"/>
      <c r="I34" s="140"/>
      <c r="J34" s="140"/>
      <c r="K34" s="140"/>
    </row>
    <row r="35" spans="1:11" hidden="1" outlineLevel="1" x14ac:dyDescent="0.2">
      <c r="B35" s="140"/>
      <c r="C35" s="140"/>
      <c r="D35" s="140"/>
      <c r="E35" s="140"/>
      <c r="F35" s="140"/>
      <c r="G35" s="140"/>
      <c r="H35" s="140"/>
      <c r="I35" s="140"/>
      <c r="J35" s="140"/>
      <c r="K35" s="140"/>
    </row>
    <row r="36" spans="1:11" hidden="1" outlineLevel="1" x14ac:dyDescent="0.2">
      <c r="B36" s="140"/>
      <c r="C36" s="140"/>
      <c r="D36" s="140"/>
      <c r="E36" s="140"/>
      <c r="F36" s="140"/>
      <c r="G36" s="140"/>
      <c r="H36" s="140"/>
      <c r="I36" s="140"/>
      <c r="J36" s="140"/>
      <c r="K36" s="140"/>
    </row>
    <row r="37" spans="1:11" hidden="1" outlineLevel="1" x14ac:dyDescent="0.2">
      <c r="B37" s="140"/>
      <c r="C37" s="140"/>
      <c r="D37" s="140"/>
      <c r="E37" s="140"/>
      <c r="F37" s="140"/>
      <c r="G37" s="140"/>
      <c r="H37" s="140"/>
      <c r="I37" s="140"/>
      <c r="J37" s="140"/>
      <c r="K37" s="140"/>
    </row>
    <row r="38" spans="1:11" collapsed="1" x14ac:dyDescent="0.2"/>
    <row r="39" spans="1:11" x14ac:dyDescent="0.2">
      <c r="A39" s="126">
        <v>3</v>
      </c>
      <c r="B39" s="126" t="s">
        <v>559</v>
      </c>
    </row>
    <row r="40" spans="1:11" x14ac:dyDescent="0.2">
      <c r="C40" s="105" t="s">
        <v>476</v>
      </c>
      <c r="D40" s="105"/>
    </row>
    <row r="41" spans="1:11" x14ac:dyDescent="0.2">
      <c r="B41" s="106" t="s">
        <v>111</v>
      </c>
      <c r="C41" s="107" t="str">
        <f>VLOOKUP("B*",B2:E12,4,FALSE)</f>
        <v>Accountant</v>
      </c>
    </row>
    <row r="42" spans="1:11" ht="12.95" hidden="1" customHeight="1" outlineLevel="1" x14ac:dyDescent="0.2">
      <c r="B42" s="140"/>
      <c r="C42" s="140"/>
      <c r="D42" s="140"/>
      <c r="E42" s="140"/>
      <c r="F42" s="140"/>
      <c r="G42" s="140"/>
      <c r="H42" s="140"/>
      <c r="I42" s="140"/>
      <c r="J42" s="140"/>
      <c r="K42" s="140"/>
    </row>
    <row r="43" spans="1:11" hidden="1" outlineLevel="1" x14ac:dyDescent="0.2">
      <c r="B43" s="140"/>
      <c r="C43" s="140"/>
      <c r="D43" s="140"/>
      <c r="E43" s="140"/>
      <c r="F43" s="140"/>
      <c r="G43" s="140"/>
      <c r="H43" s="140"/>
      <c r="I43" s="140"/>
      <c r="J43" s="140"/>
      <c r="K43" s="140"/>
    </row>
    <row r="44" spans="1:11" hidden="1" outlineLevel="1" x14ac:dyDescent="0.2">
      <c r="B44" s="140"/>
      <c r="C44" s="140"/>
      <c r="D44" s="140"/>
      <c r="E44" s="140"/>
      <c r="F44" s="140"/>
      <c r="G44" s="140"/>
      <c r="H44" s="140"/>
      <c r="I44" s="140"/>
      <c r="J44" s="140"/>
      <c r="K44" s="140"/>
    </row>
    <row r="45" spans="1:11" hidden="1" outlineLevel="1" x14ac:dyDescent="0.2">
      <c r="B45" s="140"/>
      <c r="C45" s="140"/>
      <c r="D45" s="140"/>
      <c r="E45" s="140"/>
      <c r="F45" s="140"/>
      <c r="G45" s="140"/>
      <c r="H45" s="140"/>
      <c r="I45" s="140"/>
      <c r="J45" s="140"/>
      <c r="K45" s="140"/>
    </row>
    <row r="46" spans="1:11" hidden="1" outlineLevel="1" x14ac:dyDescent="0.2">
      <c r="B46" s="140"/>
      <c r="C46" s="140"/>
      <c r="D46" s="140"/>
      <c r="E46" s="140"/>
      <c r="F46" s="140"/>
      <c r="G46" s="140"/>
      <c r="H46" s="140"/>
      <c r="I46" s="140"/>
      <c r="J46" s="140"/>
      <c r="K46" s="140"/>
    </row>
    <row r="47" spans="1:11" hidden="1" outlineLevel="1" x14ac:dyDescent="0.2">
      <c r="B47" s="140"/>
      <c r="C47" s="140"/>
      <c r="D47" s="140"/>
      <c r="E47" s="140"/>
      <c r="F47" s="140"/>
      <c r="G47" s="140"/>
      <c r="H47" s="140"/>
      <c r="I47" s="140"/>
      <c r="J47" s="140"/>
      <c r="K47" s="140"/>
    </row>
    <row r="48" spans="1:11" hidden="1" outlineLevel="1" x14ac:dyDescent="0.2">
      <c r="B48" s="140"/>
      <c r="C48" s="140"/>
      <c r="D48" s="140"/>
      <c r="E48" s="140"/>
      <c r="F48" s="140"/>
      <c r="G48" s="140"/>
      <c r="H48" s="140"/>
      <c r="I48" s="140"/>
      <c r="J48" s="140"/>
      <c r="K48" s="140"/>
    </row>
    <row r="49" collapsed="1" x14ac:dyDescent="0.2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F921-8600-4D61-9515-41BDD1B08DE4}">
  <sheetPr codeName="Sheet13"/>
  <dimension ref="A1:E21"/>
  <sheetViews>
    <sheetView zoomScale="139" workbookViewId="0">
      <selection activeCell="C9" sqref="C9"/>
    </sheetView>
  </sheetViews>
  <sheetFormatPr defaultRowHeight="15" x14ac:dyDescent="0.25"/>
  <cols>
    <col min="1" max="1" width="10.5703125" bestFit="1" customWidth="1"/>
    <col min="2" max="2" width="10.7109375" bestFit="1" customWidth="1"/>
    <col min="3" max="3" width="6.28515625" bestFit="1" customWidth="1"/>
    <col min="4" max="4" width="4.42578125" bestFit="1" customWidth="1"/>
    <col min="5" max="5" width="8.7109375" bestFit="1" customWidth="1"/>
  </cols>
  <sheetData>
    <row r="1" spans="1:5" x14ac:dyDescent="0.25">
      <c r="A1" s="143" t="s">
        <v>599</v>
      </c>
      <c r="B1" s="143" t="s">
        <v>600</v>
      </c>
      <c r="C1" s="143" t="s">
        <v>107</v>
      </c>
      <c r="D1" s="143" t="s">
        <v>145</v>
      </c>
      <c r="E1" s="143" t="s">
        <v>483</v>
      </c>
    </row>
    <row r="2" spans="1:5" x14ac:dyDescent="0.25">
      <c r="A2" s="142" t="s">
        <v>560</v>
      </c>
      <c r="B2" s="142" t="s">
        <v>561</v>
      </c>
      <c r="C2" s="142">
        <v>50000</v>
      </c>
      <c r="D2" s="142">
        <v>30</v>
      </c>
      <c r="E2" s="142">
        <f t="shared" ref="E2:E21" si="0">C2*0.1</f>
        <v>5000</v>
      </c>
    </row>
    <row r="3" spans="1:5" x14ac:dyDescent="0.25">
      <c r="A3" s="142" t="s">
        <v>562</v>
      </c>
      <c r="B3" s="142" t="s">
        <v>563</v>
      </c>
      <c r="C3" s="142">
        <v>60000</v>
      </c>
      <c r="D3" s="142">
        <v>35</v>
      </c>
      <c r="E3" s="142">
        <f t="shared" si="0"/>
        <v>6000</v>
      </c>
    </row>
    <row r="4" spans="1:5" x14ac:dyDescent="0.25">
      <c r="A4" s="142" t="s">
        <v>564</v>
      </c>
      <c r="B4" s="142" t="s">
        <v>565</v>
      </c>
      <c r="C4" s="142">
        <v>75000</v>
      </c>
      <c r="D4" s="142">
        <v>40</v>
      </c>
      <c r="E4" s="142">
        <f t="shared" si="0"/>
        <v>7500</v>
      </c>
    </row>
    <row r="5" spans="1:5" x14ac:dyDescent="0.25">
      <c r="A5" s="142" t="s">
        <v>566</v>
      </c>
      <c r="B5" s="142" t="s">
        <v>567</v>
      </c>
      <c r="C5" s="142">
        <v>55000</v>
      </c>
      <c r="D5" s="142">
        <v>28</v>
      </c>
      <c r="E5" s="142">
        <f t="shared" si="0"/>
        <v>5500</v>
      </c>
    </row>
    <row r="6" spans="1:5" x14ac:dyDescent="0.25">
      <c r="A6" s="142" t="s">
        <v>568</v>
      </c>
      <c r="B6" s="142" t="s">
        <v>569</v>
      </c>
      <c r="C6" s="142">
        <v>80000</v>
      </c>
      <c r="D6" s="142">
        <v>45</v>
      </c>
      <c r="E6" s="142">
        <f t="shared" si="0"/>
        <v>8000</v>
      </c>
    </row>
    <row r="7" spans="1:5" x14ac:dyDescent="0.25">
      <c r="A7" s="142" t="s">
        <v>570</v>
      </c>
      <c r="B7" s="142" t="s">
        <v>571</v>
      </c>
      <c r="C7" s="142">
        <v>65000</v>
      </c>
      <c r="D7" s="142">
        <v>33</v>
      </c>
      <c r="E7" s="142">
        <f t="shared" si="0"/>
        <v>6500</v>
      </c>
    </row>
    <row r="8" spans="1:5" x14ac:dyDescent="0.25">
      <c r="A8" s="142" t="s">
        <v>572</v>
      </c>
      <c r="B8" s="142" t="s">
        <v>573</v>
      </c>
      <c r="C8" s="142">
        <v>70000</v>
      </c>
      <c r="D8" s="142">
        <v>38</v>
      </c>
      <c r="E8" s="142">
        <f t="shared" si="0"/>
        <v>7000</v>
      </c>
    </row>
    <row r="9" spans="1:5" x14ac:dyDescent="0.25">
      <c r="A9" s="142" t="s">
        <v>574</v>
      </c>
      <c r="B9" s="142" t="s">
        <v>575</v>
      </c>
      <c r="C9" s="142">
        <v>60000</v>
      </c>
      <c r="D9" s="142">
        <v>32</v>
      </c>
      <c r="E9" s="142">
        <f t="shared" si="0"/>
        <v>6000</v>
      </c>
    </row>
    <row r="10" spans="1:5" x14ac:dyDescent="0.25">
      <c r="A10" s="142" t="s">
        <v>576</v>
      </c>
      <c r="B10" s="142" t="s">
        <v>577</v>
      </c>
      <c r="C10" s="142">
        <v>85000</v>
      </c>
      <c r="D10" s="142">
        <v>42</v>
      </c>
      <c r="E10" s="142">
        <f t="shared" si="0"/>
        <v>8500</v>
      </c>
    </row>
    <row r="11" spans="1:5" x14ac:dyDescent="0.25">
      <c r="A11" s="142" t="s">
        <v>578</v>
      </c>
      <c r="B11" s="142" t="s">
        <v>579</v>
      </c>
      <c r="C11" s="142">
        <v>70000</v>
      </c>
      <c r="D11" s="142">
        <v>36</v>
      </c>
      <c r="E11" s="142">
        <f t="shared" si="0"/>
        <v>7000</v>
      </c>
    </row>
    <row r="12" spans="1:5" x14ac:dyDescent="0.25">
      <c r="A12" s="142" t="s">
        <v>580</v>
      </c>
      <c r="B12" s="142" t="s">
        <v>581</v>
      </c>
      <c r="C12" s="142">
        <v>60000</v>
      </c>
      <c r="D12" s="142">
        <v>31</v>
      </c>
      <c r="E12" s="142">
        <f t="shared" si="0"/>
        <v>6000</v>
      </c>
    </row>
    <row r="13" spans="1:5" x14ac:dyDescent="0.25">
      <c r="A13" s="142" t="s">
        <v>582</v>
      </c>
      <c r="B13" s="142" t="s">
        <v>583</v>
      </c>
      <c r="C13" s="142">
        <v>55000</v>
      </c>
      <c r="D13" s="142">
        <v>29</v>
      </c>
      <c r="E13" s="142">
        <f t="shared" si="0"/>
        <v>5500</v>
      </c>
    </row>
    <row r="14" spans="1:5" x14ac:dyDescent="0.25">
      <c r="A14" s="142" t="s">
        <v>584</v>
      </c>
      <c r="B14" s="142" t="s">
        <v>563</v>
      </c>
      <c r="C14" s="142">
        <v>90000</v>
      </c>
      <c r="D14" s="142">
        <v>48</v>
      </c>
      <c r="E14" s="142">
        <f t="shared" si="0"/>
        <v>9000</v>
      </c>
    </row>
    <row r="15" spans="1:5" x14ac:dyDescent="0.25">
      <c r="A15" s="142" t="s">
        <v>585</v>
      </c>
      <c r="B15" s="142" t="s">
        <v>586</v>
      </c>
      <c r="C15" s="142">
        <v>65000</v>
      </c>
      <c r="D15" s="142">
        <v>34</v>
      </c>
      <c r="E15" s="142">
        <f t="shared" si="0"/>
        <v>6500</v>
      </c>
    </row>
    <row r="16" spans="1:5" x14ac:dyDescent="0.25">
      <c r="A16" s="142" t="s">
        <v>587</v>
      </c>
      <c r="B16" s="142" t="s">
        <v>588</v>
      </c>
      <c r="C16" s="142">
        <v>75000</v>
      </c>
      <c r="D16" s="142">
        <v>39</v>
      </c>
      <c r="E16" s="142">
        <f t="shared" si="0"/>
        <v>7500</v>
      </c>
    </row>
    <row r="17" spans="1:5" x14ac:dyDescent="0.25">
      <c r="A17" s="142" t="s">
        <v>589</v>
      </c>
      <c r="B17" s="142" t="s">
        <v>590</v>
      </c>
      <c r="C17" s="142">
        <v>70000</v>
      </c>
      <c r="D17" s="142">
        <v>37</v>
      </c>
      <c r="E17" s="142">
        <f t="shared" si="0"/>
        <v>7000</v>
      </c>
    </row>
    <row r="18" spans="1:5" x14ac:dyDescent="0.25">
      <c r="A18" s="142" t="s">
        <v>591</v>
      </c>
      <c r="B18" s="142" t="s">
        <v>592</v>
      </c>
      <c r="C18" s="142">
        <v>80000</v>
      </c>
      <c r="D18" s="142">
        <v>41</v>
      </c>
      <c r="E18" s="142">
        <f t="shared" si="0"/>
        <v>8000</v>
      </c>
    </row>
    <row r="19" spans="1:5" x14ac:dyDescent="0.25">
      <c r="A19" s="142" t="s">
        <v>593</v>
      </c>
      <c r="B19" s="142" t="s">
        <v>594</v>
      </c>
      <c r="C19" s="142">
        <v>60000</v>
      </c>
      <c r="D19" s="142">
        <v>33</v>
      </c>
      <c r="E19" s="142">
        <f t="shared" si="0"/>
        <v>6000</v>
      </c>
    </row>
    <row r="20" spans="1:5" x14ac:dyDescent="0.25">
      <c r="A20" s="142" t="s">
        <v>595</v>
      </c>
      <c r="B20" s="142" t="s">
        <v>596</v>
      </c>
      <c r="C20" s="142">
        <v>70000</v>
      </c>
      <c r="D20" s="142">
        <v>38</v>
      </c>
      <c r="E20" s="142">
        <f t="shared" si="0"/>
        <v>7000</v>
      </c>
    </row>
    <row r="21" spans="1:5" x14ac:dyDescent="0.25">
      <c r="A21" s="142" t="s">
        <v>597</v>
      </c>
      <c r="B21" s="142" t="s">
        <v>598</v>
      </c>
      <c r="C21" s="142">
        <v>65000</v>
      </c>
      <c r="D21" s="142">
        <v>35</v>
      </c>
      <c r="E21" s="142">
        <f t="shared" si="0"/>
        <v>6500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6232-5DDE-499B-8166-961CECDAD569}">
  <sheetPr codeName="Sheet32"/>
  <dimension ref="A1:G19"/>
  <sheetViews>
    <sheetView tabSelected="1" workbookViewId="0">
      <selection activeCell="D7" sqref="D7"/>
    </sheetView>
  </sheetViews>
  <sheetFormatPr defaultRowHeight="15" x14ac:dyDescent="0.25"/>
  <cols>
    <col min="1" max="1" width="8" bestFit="1" customWidth="1"/>
    <col min="2" max="2" width="15.7109375" bestFit="1" customWidth="1"/>
    <col min="3" max="3" width="16.7109375" bestFit="1" customWidth="1"/>
    <col min="4" max="4" width="8.7109375" bestFit="1" customWidth="1"/>
    <col min="5" max="5" width="6" bestFit="1" customWidth="1"/>
    <col min="6" max="6" width="8" bestFit="1" customWidth="1"/>
    <col min="7" max="7" width="5" bestFit="1" customWidth="1"/>
  </cols>
  <sheetData>
    <row r="1" spans="1:7" x14ac:dyDescent="0.25">
      <c r="A1" s="144" t="s">
        <v>601</v>
      </c>
      <c r="B1" s="144" t="s">
        <v>1</v>
      </c>
      <c r="C1" s="144" t="s">
        <v>479</v>
      </c>
      <c r="D1" s="144" t="s">
        <v>480</v>
      </c>
      <c r="E1" s="144" t="s">
        <v>481</v>
      </c>
      <c r="F1" s="144" t="s">
        <v>482</v>
      </c>
      <c r="G1" s="144"/>
    </row>
    <row r="2" spans="1:7" x14ac:dyDescent="0.25">
      <c r="A2" s="142">
        <v>11280</v>
      </c>
      <c r="B2" s="142" t="s">
        <v>484</v>
      </c>
      <c r="C2" s="142" t="s">
        <v>602</v>
      </c>
      <c r="D2" s="142">
        <v>15</v>
      </c>
      <c r="E2" s="142">
        <v>30000</v>
      </c>
      <c r="F2" s="142">
        <v>450000</v>
      </c>
      <c r="G2" s="142">
        <v>0</v>
      </c>
    </row>
    <row r="3" spans="1:7" x14ac:dyDescent="0.25">
      <c r="A3" s="142">
        <v>11281</v>
      </c>
      <c r="B3" s="142" t="s">
        <v>485</v>
      </c>
      <c r="C3" s="142" t="s">
        <v>603</v>
      </c>
      <c r="D3" s="142">
        <v>10</v>
      </c>
      <c r="E3" s="142">
        <v>25000</v>
      </c>
      <c r="F3" s="142">
        <v>250000</v>
      </c>
      <c r="G3" s="142">
        <v>0</v>
      </c>
    </row>
    <row r="4" spans="1:7" x14ac:dyDescent="0.25">
      <c r="A4" s="142">
        <v>11282</v>
      </c>
      <c r="B4" s="142" t="s">
        <v>486</v>
      </c>
      <c r="C4" s="142" t="s">
        <v>604</v>
      </c>
      <c r="D4" s="142">
        <v>150</v>
      </c>
      <c r="E4" s="142">
        <v>28000</v>
      </c>
      <c r="F4" s="142">
        <v>4200000</v>
      </c>
      <c r="G4" s="142">
        <v>5600</v>
      </c>
    </row>
    <row r="5" spans="1:7" x14ac:dyDescent="0.25">
      <c r="A5" s="142">
        <v>11283</v>
      </c>
      <c r="B5" s="142" t="s">
        <v>488</v>
      </c>
      <c r="C5" s="142" t="s">
        <v>605</v>
      </c>
      <c r="D5" s="142">
        <v>12</v>
      </c>
      <c r="E5" s="142">
        <v>30000</v>
      </c>
      <c r="F5" s="142">
        <v>360000</v>
      </c>
      <c r="G5" s="142">
        <v>0</v>
      </c>
    </row>
    <row r="6" spans="1:7" x14ac:dyDescent="0.25">
      <c r="A6" s="142">
        <v>11284</v>
      </c>
      <c r="B6" s="142" t="s">
        <v>490</v>
      </c>
      <c r="C6" s="142" t="s">
        <v>606</v>
      </c>
      <c r="D6" s="142">
        <v>20</v>
      </c>
      <c r="E6" s="142">
        <v>30000</v>
      </c>
      <c r="F6" s="142">
        <v>600000</v>
      </c>
      <c r="G6" s="142">
        <v>0</v>
      </c>
    </row>
    <row r="7" spans="1:7" x14ac:dyDescent="0.25">
      <c r="A7" s="142">
        <v>11285</v>
      </c>
      <c r="B7" s="142" t="s">
        <v>492</v>
      </c>
      <c r="C7" s="142" t="s">
        <v>607</v>
      </c>
      <c r="D7" s="142">
        <v>20</v>
      </c>
      <c r="E7" s="142">
        <v>26000</v>
      </c>
      <c r="F7" s="142">
        <v>520000</v>
      </c>
      <c r="G7" s="142">
        <v>0</v>
      </c>
    </row>
    <row r="8" spans="1:7" x14ac:dyDescent="0.25">
      <c r="A8" s="142">
        <v>11286</v>
      </c>
      <c r="B8" s="142" t="s">
        <v>493</v>
      </c>
      <c r="C8" s="142" t="s">
        <v>494</v>
      </c>
      <c r="D8" s="142">
        <v>2</v>
      </c>
      <c r="E8" s="142">
        <v>30000</v>
      </c>
      <c r="F8" s="142">
        <v>60000</v>
      </c>
      <c r="G8" s="142">
        <v>0</v>
      </c>
    </row>
    <row r="9" spans="1:7" x14ac:dyDescent="0.25">
      <c r="A9" s="142">
        <v>11287</v>
      </c>
      <c r="B9" s="142" t="s">
        <v>495</v>
      </c>
      <c r="C9" s="142" t="s">
        <v>496</v>
      </c>
      <c r="D9" s="142">
        <v>5</v>
      </c>
      <c r="E9" s="142">
        <v>35000</v>
      </c>
      <c r="F9" s="142">
        <v>175000</v>
      </c>
      <c r="G9" s="142">
        <v>0</v>
      </c>
    </row>
    <row r="10" spans="1:7" x14ac:dyDescent="0.25">
      <c r="A10" s="142">
        <v>11288</v>
      </c>
      <c r="B10" s="142" t="s">
        <v>497</v>
      </c>
      <c r="C10" s="142" t="s">
        <v>498</v>
      </c>
      <c r="D10" s="142">
        <v>80</v>
      </c>
      <c r="E10" s="142">
        <v>30000</v>
      </c>
      <c r="F10" s="142">
        <v>2400000</v>
      </c>
      <c r="G10" s="142">
        <v>6000</v>
      </c>
    </row>
    <row r="11" spans="1:7" x14ac:dyDescent="0.25">
      <c r="A11" s="142">
        <v>11289</v>
      </c>
      <c r="B11" s="142" t="s">
        <v>499</v>
      </c>
      <c r="C11" s="142" t="s">
        <v>500</v>
      </c>
      <c r="D11" s="142">
        <v>100</v>
      </c>
      <c r="E11" s="142">
        <v>26000</v>
      </c>
      <c r="F11" s="142">
        <v>2600000</v>
      </c>
      <c r="G11" s="142">
        <v>5200</v>
      </c>
    </row>
    <row r="12" spans="1:7" x14ac:dyDescent="0.25">
      <c r="A12" s="142">
        <v>11290</v>
      </c>
      <c r="B12" s="142" t="s">
        <v>501</v>
      </c>
      <c r="C12" s="142" t="s">
        <v>502</v>
      </c>
      <c r="D12" s="142">
        <v>20</v>
      </c>
      <c r="E12" s="142">
        <v>35000</v>
      </c>
      <c r="F12" s="142">
        <v>700000</v>
      </c>
      <c r="G12" s="142">
        <v>0</v>
      </c>
    </row>
    <row r="13" spans="1:7" x14ac:dyDescent="0.25">
      <c r="A13" s="142">
        <v>11291</v>
      </c>
      <c r="B13" s="142" t="s">
        <v>503</v>
      </c>
      <c r="C13" s="142" t="s">
        <v>504</v>
      </c>
      <c r="D13" s="142">
        <v>25</v>
      </c>
      <c r="E13" s="142">
        <v>40000</v>
      </c>
      <c r="F13" s="142">
        <v>1000000</v>
      </c>
      <c r="G13" s="142">
        <v>8000</v>
      </c>
    </row>
    <row r="14" spans="1:7" x14ac:dyDescent="0.25">
      <c r="A14" s="142">
        <v>11292</v>
      </c>
      <c r="B14" s="142" t="s">
        <v>505</v>
      </c>
      <c r="C14" s="142" t="s">
        <v>487</v>
      </c>
      <c r="D14" s="142">
        <v>10</v>
      </c>
      <c r="E14" s="142">
        <v>28000</v>
      </c>
      <c r="F14" s="142">
        <v>280000</v>
      </c>
      <c r="G14" s="142">
        <v>0</v>
      </c>
    </row>
    <row r="15" spans="1:7" x14ac:dyDescent="0.25">
      <c r="A15" s="142">
        <v>11293</v>
      </c>
      <c r="B15" s="142" t="s">
        <v>506</v>
      </c>
      <c r="C15" s="142" t="s">
        <v>489</v>
      </c>
      <c r="D15" s="142">
        <v>10</v>
      </c>
      <c r="E15" s="142">
        <v>30000</v>
      </c>
      <c r="F15" s="142">
        <v>300000</v>
      </c>
      <c r="G15" s="142">
        <v>0</v>
      </c>
    </row>
    <row r="16" spans="1:7" x14ac:dyDescent="0.25">
      <c r="A16" s="142">
        <v>11294</v>
      </c>
      <c r="B16" s="142" t="s">
        <v>507</v>
      </c>
      <c r="C16" s="142" t="s">
        <v>491</v>
      </c>
      <c r="D16" s="142">
        <v>5</v>
      </c>
      <c r="E16" s="142">
        <v>30000</v>
      </c>
      <c r="F16" s="142">
        <v>150000</v>
      </c>
      <c r="G16" s="142">
        <v>0</v>
      </c>
    </row>
    <row r="17" spans="1:7" x14ac:dyDescent="0.25">
      <c r="A17" s="142">
        <v>11295</v>
      </c>
      <c r="B17" s="142" t="s">
        <v>508</v>
      </c>
      <c r="C17" s="142" t="s">
        <v>608</v>
      </c>
      <c r="D17" s="142">
        <v>180</v>
      </c>
      <c r="E17" s="142">
        <v>26000</v>
      </c>
      <c r="F17" s="142">
        <v>4680000</v>
      </c>
      <c r="G17" s="142">
        <v>5200</v>
      </c>
    </row>
    <row r="18" spans="1:7" x14ac:dyDescent="0.25">
      <c r="A18" s="142">
        <v>11296</v>
      </c>
      <c r="B18" s="142" t="s">
        <v>509</v>
      </c>
      <c r="C18" s="142" t="s">
        <v>494</v>
      </c>
      <c r="D18" s="142">
        <v>5</v>
      </c>
      <c r="E18" s="142">
        <v>30000</v>
      </c>
      <c r="F18" s="142">
        <v>150000</v>
      </c>
      <c r="G18" s="142">
        <v>0</v>
      </c>
    </row>
    <row r="19" spans="1:7" x14ac:dyDescent="0.25">
      <c r="A19" s="142">
        <v>11297</v>
      </c>
      <c r="B19" s="142" t="s">
        <v>510</v>
      </c>
      <c r="C19" s="142" t="s">
        <v>496</v>
      </c>
      <c r="D19" s="142">
        <v>250</v>
      </c>
      <c r="E19" s="142">
        <v>35000</v>
      </c>
      <c r="F19" s="142">
        <v>8750000</v>
      </c>
      <c r="G19" s="142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AVERAGE 1 - Question</vt:lpstr>
      <vt:lpstr>AVERAGE 3 - Question</vt:lpstr>
      <vt:lpstr>COUNT 1 - Question</vt:lpstr>
      <vt:lpstr>COUNT 2 - Question</vt:lpstr>
      <vt:lpstr>COUNT 3 - Question</vt:lpstr>
      <vt:lpstr>HLOOKUP - Question</vt:lpstr>
      <vt:lpstr>IF 1 - Question</vt:lpstr>
      <vt:lpstr>IF 2 - Question</vt:lpstr>
      <vt:lpstr>IF 3 - Question</vt:lpstr>
      <vt:lpstr>IF 4 - Question</vt:lpstr>
      <vt:lpstr>MATH 1 - Question</vt:lpstr>
      <vt:lpstr>MAX MIN 1 - Question</vt:lpstr>
      <vt:lpstr>MAX MIN 2 - Question</vt:lpstr>
      <vt:lpstr>MAX MIN 3 - Question</vt:lpstr>
      <vt:lpstr>Nested IF 1 - Question</vt:lpstr>
      <vt:lpstr>SUM 1 - Question</vt:lpstr>
      <vt:lpstr>SUM 2 - Question</vt:lpstr>
      <vt:lpstr>SUM 3 - Question</vt:lpstr>
      <vt:lpstr>SUMIF 1 - Question</vt:lpstr>
      <vt:lpstr>SUMIF2 Questions</vt:lpstr>
      <vt:lpstr>VLOOKUP - Approximate Match</vt:lpstr>
      <vt:lpstr>VLOOKUP 1 - Question</vt:lpstr>
      <vt:lpstr>VLOOUP 2A Questions</vt:lpstr>
      <vt:lpstr>Lec Macros 1.1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Heena Prajapati</cp:lastModifiedBy>
  <dcterms:created xsi:type="dcterms:W3CDTF">2015-06-05T18:17:20Z</dcterms:created>
  <dcterms:modified xsi:type="dcterms:W3CDTF">2025-05-11T18:43:22Z</dcterms:modified>
</cp:coreProperties>
</file>